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DMIN\Desktop\Portfolio\"/>
    </mc:Choice>
  </mc:AlternateContent>
  <xr:revisionPtr revIDLastSave="0" documentId="13_ncr:1_{B239936E-E319-410C-9D61-D78D6304AB32}" xr6:coauthVersionLast="47" xr6:coauthVersionMax="47" xr10:uidLastSave="{00000000-0000-0000-0000-000000000000}"/>
  <bookViews>
    <workbookView xWindow="0" yWindow="360" windowWidth="19420" windowHeight="10300" firstSheet="1" activeTab="1" xr2:uid="{54FB3B39-F1E3-4342-8DC4-F8EC9D84141F}"/>
  </bookViews>
  <sheets>
    <sheet name="Pivot" sheetId="4" r:id="rId1"/>
    <sheet name="Dashboard" sheetId="9" r:id="rId2"/>
    <sheet name="Swiggy dataset" sheetId="2" r:id="rId3"/>
  </sheets>
  <definedNames>
    <definedName name="Slicer_City">#N/A</definedName>
    <definedName name="Slicer_Food_Type">#N/A</definedName>
    <definedName name="Slicer_Month">#N/A</definedName>
    <definedName name="Slicer_Restaurant_Name">#N/A</definedName>
    <definedName name="Slicer_State">#N/A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520571-04D2-45DB-A3B3-47B0D3CD4A3E}" keepAlive="1" name="Query - Swiggy dataset" description="Connection to the 'Swiggy dataset' query in the workbook." type="5" refreshedVersion="0" background="1">
    <dbPr connection="Provider=Microsoft.Mashup.OleDb.1;Data Source=$Workbook$;Location=&quot;Swiggy dataset&quot;;Extended Properties=&quot;&quot;" command="SELECT * FROM [Swiggy dataset]"/>
  </connection>
</connections>
</file>

<file path=xl/sharedStrings.xml><?xml version="1.0" encoding="utf-8"?>
<sst xmlns="http://schemas.openxmlformats.org/spreadsheetml/2006/main" count="266" uniqueCount="69">
  <si>
    <t>Rating</t>
  </si>
  <si>
    <t>Sales</t>
  </si>
  <si>
    <t>City</t>
  </si>
  <si>
    <t>State</t>
  </si>
  <si>
    <t>Month</t>
  </si>
  <si>
    <t>Veg</t>
  </si>
  <si>
    <t>Paradise</t>
  </si>
  <si>
    <t>Hyderabad</t>
  </si>
  <si>
    <t>Telangana</t>
  </si>
  <si>
    <t>Order ID</t>
  </si>
  <si>
    <t>Order Date</t>
  </si>
  <si>
    <t>Day Name</t>
  </si>
  <si>
    <t>Week No</t>
  </si>
  <si>
    <t>Quarter</t>
  </si>
  <si>
    <t>Restaurant Name</t>
  </si>
  <si>
    <t>Food Type</t>
  </si>
  <si>
    <t>Apr</t>
  </si>
  <si>
    <t>Mon</t>
  </si>
  <si>
    <t>Q2</t>
  </si>
  <si>
    <t>Meghana Foods</t>
  </si>
  <si>
    <t>Non-Veg</t>
  </si>
  <si>
    <t>Tue</t>
  </si>
  <si>
    <t>Karnataka</t>
  </si>
  <si>
    <t>Bengaluru</t>
  </si>
  <si>
    <t>KFC</t>
  </si>
  <si>
    <t>Jul</t>
  </si>
  <si>
    <t>Sat</t>
  </si>
  <si>
    <t>Q3</t>
  </si>
  <si>
    <t>Uttar Pradesh</t>
  </si>
  <si>
    <t>Lucknow</t>
  </si>
  <si>
    <t>Biryani Blues</t>
  </si>
  <si>
    <t>Feb</t>
  </si>
  <si>
    <t>Q1</t>
  </si>
  <si>
    <t>Wow Momo</t>
  </si>
  <si>
    <t>Sun</t>
  </si>
  <si>
    <t>Dominoz</t>
  </si>
  <si>
    <t>May</t>
  </si>
  <si>
    <t>Rajasthan</t>
  </si>
  <si>
    <t>Jaipur</t>
  </si>
  <si>
    <t>Behrouz</t>
  </si>
  <si>
    <t>Fri</t>
  </si>
  <si>
    <t>Amar Bhojnalya</t>
  </si>
  <si>
    <t>Gujarat</t>
  </si>
  <si>
    <t>Surat</t>
  </si>
  <si>
    <t>Aloo Pitika</t>
  </si>
  <si>
    <t>Tamil Nadu</t>
  </si>
  <si>
    <t>Coimbatore</t>
  </si>
  <si>
    <t>Jan</t>
  </si>
  <si>
    <t>Wed</t>
  </si>
  <si>
    <t>West Bengal</t>
  </si>
  <si>
    <t>Kolkata</t>
  </si>
  <si>
    <t>Assam</t>
  </si>
  <si>
    <t>Guwahati</t>
  </si>
  <si>
    <t>Jun</t>
  </si>
  <si>
    <t>Delhi</t>
  </si>
  <si>
    <t>New Delhi</t>
  </si>
  <si>
    <t>Aug</t>
  </si>
  <si>
    <t>Ahmedabad</t>
  </si>
  <si>
    <t>Thu</t>
  </si>
  <si>
    <t>Bihar</t>
  </si>
  <si>
    <t>Patna</t>
  </si>
  <si>
    <t>Faasos</t>
  </si>
  <si>
    <t>Alpha Pizza House</t>
  </si>
  <si>
    <t>Goa</t>
  </si>
  <si>
    <t>Panaji</t>
  </si>
  <si>
    <t>Mar</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</si>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</sst>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sales analysis.xlsx]Pivot!PivotTable2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Pivot!$A$4:$A$12</c:f>
              <c:strCache>
                <c:ptCount val="8"/>
                <c:pt idx="0">
                  <c:v>Jan</c:v>
                </c:pt>
                <c:pt idx="1">
                  <c:v>Feb</c:v>
                </c:pt>
                <c:pt idx="2">
                  <c:v>Mar</c:v>
                </c:pt>
                <c:pt idx="3">
                  <c:v>Apr</c:v>
                </c:pt>
                <c:pt idx="4">
                  <c:v>May</c:v>
                </c:pt>
                <c:pt idx="5">
                  <c:v>Jun</c:v>
                </c:pt>
                <c:pt idx="6">
                  <c:v>Jul</c:v>
                </c:pt>
                <c:pt idx="7">
                  <c:v>Aug</c:v>
                </c:pt>
              </c:strCache>
            </c:strRef>
          </c:cat>
          <c:val>
            <c:numRef>
              <c:f>Pivot!$B$4:$B$12</c:f>
              <c:numCache>
                <c:formatCode>General</c:formatCode>
                <c:ptCount val="8"/>
                <c:pt idx="0">
                  <c:v>1070</c:v>
                </c:pt>
                <c:pt idx="1">
                  <c:v>1233</c:v>
                </c:pt>
                <c:pt idx="2">
                  <c:v>546</c:v>
                </c:pt>
                <c:pt idx="3">
                  <c:v>1940</c:v>
                </c:pt>
                <c:pt idx="4">
                  <c:v>288</c:v>
                </c:pt>
                <c:pt idx="5">
                  <c:v>487</c:v>
                </c:pt>
                <c:pt idx="6">
                  <c:v>1553</c:v>
                </c:pt>
                <c:pt idx="7">
                  <c:v>375</c:v>
                </c:pt>
              </c:numCache>
            </c:numRef>
          </c:val>
          <c:smooth val="0"/>
          <c:extLst>
            <c:ext xmlns:c16="http://schemas.microsoft.com/office/drawing/2014/chart" uri="{C3380CC4-5D6E-409C-BE32-E72D297353CC}">
              <c16:uniqueId val="{00000000-34F6-48BB-A814-B9D12296F55E}"/>
            </c:ext>
          </c:extLst>
        </c:ser>
        <c:dLbls>
          <c:showLegendKey val="0"/>
          <c:showVal val="0"/>
          <c:showCatName val="0"/>
          <c:showSerName val="0"/>
          <c:showPercent val="0"/>
          <c:showBubbleSize val="0"/>
        </c:dLbls>
        <c:marker val="1"/>
        <c:smooth val="0"/>
        <c:axId val="210659856"/>
        <c:axId val="211830352"/>
      </c:lineChart>
      <c:catAx>
        <c:axId val="21065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0352"/>
        <c:crosses val="autoZero"/>
        <c:auto val="1"/>
        <c:lblAlgn val="ctr"/>
        <c:lblOffset val="100"/>
        <c:noMultiLvlLbl val="0"/>
      </c:catAx>
      <c:valAx>
        <c:axId val="21183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sales analysis.xlsx]Pivot!PivotTable4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Pivot!$D$4:$D$6</c:f>
              <c:strCache>
                <c:ptCount val="2"/>
                <c:pt idx="0">
                  <c:v>Non-Veg</c:v>
                </c:pt>
                <c:pt idx="1">
                  <c:v>Veg</c:v>
                </c:pt>
              </c:strCache>
            </c:strRef>
          </c:cat>
          <c:val>
            <c:numRef>
              <c:f>Pivot!$E$4:$E$6</c:f>
              <c:numCache>
                <c:formatCode>General</c:formatCode>
                <c:ptCount val="2"/>
                <c:pt idx="0">
                  <c:v>2752</c:v>
                </c:pt>
                <c:pt idx="1">
                  <c:v>4740</c:v>
                </c:pt>
              </c:numCache>
            </c:numRef>
          </c:val>
          <c:extLst>
            <c:ext xmlns:c16="http://schemas.microsoft.com/office/drawing/2014/chart" uri="{C3380CC4-5D6E-409C-BE32-E72D297353CC}">
              <c16:uniqueId val="{00000000-4C14-470F-9E37-D04D2BF76FF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sales analysis.xlsx]Pivot!PivotTable6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65048118985121"/>
          <c:y val="0.13365522018081072"/>
          <c:w val="0.57405314960629916"/>
          <c:h val="0.6293157626130067"/>
        </c:manualLayout>
      </c:layout>
      <c:barChart>
        <c:barDir val="bar"/>
        <c:grouping val="clustered"/>
        <c:varyColors val="0"/>
        <c:ser>
          <c:idx val="0"/>
          <c:order val="0"/>
          <c:tx>
            <c:strRef>
              <c:f>Pivot!$H$3</c:f>
              <c:strCache>
                <c:ptCount val="1"/>
                <c:pt idx="0">
                  <c:v>Total</c:v>
                </c:pt>
              </c:strCache>
            </c:strRef>
          </c:tx>
          <c:spPr>
            <a:solidFill>
              <a:schemeClr val="accent1"/>
            </a:solidFill>
            <a:ln>
              <a:noFill/>
            </a:ln>
            <a:effectLst/>
          </c:spPr>
          <c:invertIfNegative val="0"/>
          <c:cat>
            <c:strRef>
              <c:f>Pivot!$G$4:$G$11</c:f>
              <c:strCache>
                <c:ptCount val="7"/>
                <c:pt idx="0">
                  <c:v>Mon</c:v>
                </c:pt>
                <c:pt idx="1">
                  <c:v>Tue</c:v>
                </c:pt>
                <c:pt idx="2">
                  <c:v>Wed</c:v>
                </c:pt>
                <c:pt idx="3">
                  <c:v>Thu</c:v>
                </c:pt>
                <c:pt idx="4">
                  <c:v>Fri</c:v>
                </c:pt>
                <c:pt idx="5">
                  <c:v>Sat</c:v>
                </c:pt>
                <c:pt idx="6">
                  <c:v>Sun</c:v>
                </c:pt>
              </c:strCache>
            </c:strRef>
          </c:cat>
          <c:val>
            <c:numRef>
              <c:f>Pivot!$H$4:$H$11</c:f>
              <c:numCache>
                <c:formatCode>General</c:formatCode>
                <c:ptCount val="7"/>
                <c:pt idx="0">
                  <c:v>1586</c:v>
                </c:pt>
                <c:pt idx="1">
                  <c:v>898</c:v>
                </c:pt>
                <c:pt idx="2">
                  <c:v>987</c:v>
                </c:pt>
                <c:pt idx="3">
                  <c:v>731</c:v>
                </c:pt>
                <c:pt idx="4">
                  <c:v>1067</c:v>
                </c:pt>
                <c:pt idx="5">
                  <c:v>1251</c:v>
                </c:pt>
                <c:pt idx="6">
                  <c:v>972</c:v>
                </c:pt>
              </c:numCache>
            </c:numRef>
          </c:val>
          <c:extLst>
            <c:ext xmlns:c16="http://schemas.microsoft.com/office/drawing/2014/chart" uri="{C3380CC4-5D6E-409C-BE32-E72D297353CC}">
              <c16:uniqueId val="{00000000-E6EE-4B64-9F95-2E336314E8A3}"/>
            </c:ext>
          </c:extLst>
        </c:ser>
        <c:dLbls>
          <c:showLegendKey val="0"/>
          <c:showVal val="0"/>
          <c:showCatName val="0"/>
          <c:showSerName val="0"/>
          <c:showPercent val="0"/>
          <c:showBubbleSize val="0"/>
        </c:dLbls>
        <c:gapWidth val="182"/>
        <c:axId val="205721264"/>
        <c:axId val="211840432"/>
      </c:barChart>
      <c:catAx>
        <c:axId val="20572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40432"/>
        <c:crosses val="autoZero"/>
        <c:auto val="1"/>
        <c:lblAlgn val="ctr"/>
        <c:lblOffset val="100"/>
        <c:noMultiLvlLbl val="0"/>
      </c:catAx>
      <c:valAx>
        <c:axId val="21184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sales analysis.xlsx]Pivot!PivotTable8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c:f>
              <c:strCache>
                <c:ptCount val="1"/>
                <c:pt idx="0">
                  <c:v>Total</c:v>
                </c:pt>
              </c:strCache>
            </c:strRef>
          </c:tx>
          <c:spPr>
            <a:solidFill>
              <a:schemeClr val="accent1"/>
            </a:solidFill>
            <a:ln>
              <a:noFill/>
            </a:ln>
            <a:effectLst/>
          </c:spPr>
          <c:invertIfNegative val="0"/>
          <c:cat>
            <c:strRef>
              <c:f>Pivot!$J$4:$J$16</c:f>
              <c:strCache>
                <c:ptCount val="12"/>
                <c:pt idx="0">
                  <c:v>Ahmedabad</c:v>
                </c:pt>
                <c:pt idx="1">
                  <c:v>Bengaluru</c:v>
                </c:pt>
                <c:pt idx="2">
                  <c:v>Coimbatore</c:v>
                </c:pt>
                <c:pt idx="3">
                  <c:v>Guwahati</c:v>
                </c:pt>
                <c:pt idx="4">
                  <c:v>Hyderabad</c:v>
                </c:pt>
                <c:pt idx="5">
                  <c:v>Jaipur</c:v>
                </c:pt>
                <c:pt idx="6">
                  <c:v>Kolkata</c:v>
                </c:pt>
                <c:pt idx="7">
                  <c:v>Lucknow</c:v>
                </c:pt>
                <c:pt idx="8">
                  <c:v>New Delhi</c:v>
                </c:pt>
                <c:pt idx="9">
                  <c:v>Panaji</c:v>
                </c:pt>
                <c:pt idx="10">
                  <c:v>Patna</c:v>
                </c:pt>
                <c:pt idx="11">
                  <c:v>Surat</c:v>
                </c:pt>
              </c:strCache>
            </c:strRef>
          </c:cat>
          <c:val>
            <c:numRef>
              <c:f>Pivot!$K$4:$K$16</c:f>
              <c:numCache>
                <c:formatCode>General</c:formatCode>
                <c:ptCount val="12"/>
                <c:pt idx="0">
                  <c:v>216</c:v>
                </c:pt>
                <c:pt idx="1">
                  <c:v>403</c:v>
                </c:pt>
                <c:pt idx="2">
                  <c:v>553</c:v>
                </c:pt>
                <c:pt idx="3">
                  <c:v>405</c:v>
                </c:pt>
                <c:pt idx="4">
                  <c:v>983</c:v>
                </c:pt>
                <c:pt idx="5">
                  <c:v>1317</c:v>
                </c:pt>
                <c:pt idx="6">
                  <c:v>163</c:v>
                </c:pt>
                <c:pt idx="7">
                  <c:v>691</c:v>
                </c:pt>
                <c:pt idx="8">
                  <c:v>882</c:v>
                </c:pt>
                <c:pt idx="9">
                  <c:v>815</c:v>
                </c:pt>
                <c:pt idx="10">
                  <c:v>417</c:v>
                </c:pt>
                <c:pt idx="11">
                  <c:v>647</c:v>
                </c:pt>
              </c:numCache>
            </c:numRef>
          </c:val>
          <c:extLst>
            <c:ext xmlns:c16="http://schemas.microsoft.com/office/drawing/2014/chart" uri="{C3380CC4-5D6E-409C-BE32-E72D297353CC}">
              <c16:uniqueId val="{00000000-1472-4144-98A1-8178C81F2282}"/>
            </c:ext>
          </c:extLst>
        </c:ser>
        <c:dLbls>
          <c:showLegendKey val="0"/>
          <c:showVal val="0"/>
          <c:showCatName val="0"/>
          <c:showSerName val="0"/>
          <c:showPercent val="0"/>
          <c:showBubbleSize val="0"/>
        </c:dLbls>
        <c:gapWidth val="182"/>
        <c:axId val="258762144"/>
        <c:axId val="211828912"/>
      </c:barChart>
      <c:catAx>
        <c:axId val="25876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28912"/>
        <c:crosses val="autoZero"/>
        <c:auto val="1"/>
        <c:lblAlgn val="ctr"/>
        <c:lblOffset val="100"/>
        <c:noMultiLvlLbl val="0"/>
      </c:catAx>
      <c:valAx>
        <c:axId val="21182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6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sales analysis.xlsx]Pivot!PivotTable10</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Pivot!$N$3</c:f>
              <c:strCache>
                <c:ptCount val="1"/>
                <c:pt idx="0">
                  <c:v>Total</c:v>
                </c:pt>
              </c:strCache>
            </c:strRef>
          </c:tx>
          <c:spPr>
            <a:solidFill>
              <a:schemeClr val="accent1"/>
            </a:solidFill>
            <a:ln>
              <a:noFill/>
            </a:ln>
            <a:effectLst/>
            <a:sp3d/>
          </c:spPr>
          <c:invertIfNegative val="0"/>
          <c:cat>
            <c:strRef>
              <c:f>Pivot!$M$4:$M$23</c:f>
              <c:strCache>
                <c:ptCount val="19"/>
                <c:pt idx="0">
                  <c:v>2</c:v>
                </c:pt>
                <c:pt idx="1">
                  <c:v>3</c:v>
                </c:pt>
                <c:pt idx="2">
                  <c:v>4</c:v>
                </c:pt>
                <c:pt idx="3">
                  <c:v>5</c:v>
                </c:pt>
                <c:pt idx="4">
                  <c:v>7</c:v>
                </c:pt>
                <c:pt idx="5">
                  <c:v>9</c:v>
                </c:pt>
                <c:pt idx="6">
                  <c:v>10</c:v>
                </c:pt>
                <c:pt idx="7">
                  <c:v>14</c:v>
                </c:pt>
                <c:pt idx="8">
                  <c:v>15</c:v>
                </c:pt>
                <c:pt idx="9">
                  <c:v>16</c:v>
                </c:pt>
                <c:pt idx="10">
                  <c:v>17</c:v>
                </c:pt>
                <c:pt idx="11">
                  <c:v>19</c:v>
                </c:pt>
                <c:pt idx="12">
                  <c:v>24</c:v>
                </c:pt>
                <c:pt idx="13">
                  <c:v>26</c:v>
                </c:pt>
                <c:pt idx="14">
                  <c:v>27</c:v>
                </c:pt>
                <c:pt idx="15">
                  <c:v>28</c:v>
                </c:pt>
                <c:pt idx="16">
                  <c:v>30</c:v>
                </c:pt>
                <c:pt idx="17">
                  <c:v>33</c:v>
                </c:pt>
                <c:pt idx="18">
                  <c:v>34</c:v>
                </c:pt>
              </c:strCache>
            </c:strRef>
          </c:cat>
          <c:val>
            <c:numRef>
              <c:f>Pivot!$N$4:$N$23</c:f>
              <c:numCache>
                <c:formatCode>General</c:formatCode>
                <c:ptCount val="19"/>
                <c:pt idx="0">
                  <c:v>163</c:v>
                </c:pt>
                <c:pt idx="1">
                  <c:v>297</c:v>
                </c:pt>
                <c:pt idx="2">
                  <c:v>258</c:v>
                </c:pt>
                <c:pt idx="3">
                  <c:v>352</c:v>
                </c:pt>
                <c:pt idx="4">
                  <c:v>1011</c:v>
                </c:pt>
                <c:pt idx="5">
                  <c:v>486</c:v>
                </c:pt>
                <c:pt idx="6">
                  <c:v>282</c:v>
                </c:pt>
                <c:pt idx="7">
                  <c:v>393</c:v>
                </c:pt>
                <c:pt idx="8">
                  <c:v>877</c:v>
                </c:pt>
                <c:pt idx="9">
                  <c:v>506</c:v>
                </c:pt>
                <c:pt idx="10">
                  <c:v>164</c:v>
                </c:pt>
                <c:pt idx="11">
                  <c:v>288</c:v>
                </c:pt>
                <c:pt idx="12">
                  <c:v>239</c:v>
                </c:pt>
                <c:pt idx="13">
                  <c:v>248</c:v>
                </c:pt>
                <c:pt idx="14">
                  <c:v>372</c:v>
                </c:pt>
                <c:pt idx="15">
                  <c:v>134</c:v>
                </c:pt>
                <c:pt idx="16">
                  <c:v>1047</c:v>
                </c:pt>
                <c:pt idx="17">
                  <c:v>216</c:v>
                </c:pt>
                <c:pt idx="18">
                  <c:v>159</c:v>
                </c:pt>
              </c:numCache>
            </c:numRef>
          </c:val>
          <c:extLst>
            <c:ext xmlns:c16="http://schemas.microsoft.com/office/drawing/2014/chart" uri="{C3380CC4-5D6E-409C-BE32-E72D297353CC}">
              <c16:uniqueId val="{00000000-9004-4748-ABA3-82E39BC49C14}"/>
            </c:ext>
          </c:extLst>
        </c:ser>
        <c:dLbls>
          <c:showLegendKey val="0"/>
          <c:showVal val="0"/>
          <c:showCatName val="0"/>
          <c:showSerName val="0"/>
          <c:showPercent val="0"/>
          <c:showBubbleSize val="0"/>
        </c:dLbls>
        <c:gapWidth val="150"/>
        <c:shape val="box"/>
        <c:axId val="258740336"/>
        <c:axId val="211857712"/>
        <c:axId val="1925636735"/>
      </c:bar3DChart>
      <c:catAx>
        <c:axId val="258740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57712"/>
        <c:crosses val="autoZero"/>
        <c:auto val="1"/>
        <c:lblAlgn val="ctr"/>
        <c:lblOffset val="100"/>
        <c:noMultiLvlLbl val="0"/>
      </c:catAx>
      <c:valAx>
        <c:axId val="21185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40336"/>
        <c:crosses val="autoZero"/>
        <c:crossBetween val="between"/>
      </c:valAx>
      <c:serAx>
        <c:axId val="19256367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577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sales analysis.xlsx]Pivot!PivotTable2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Pivot!$A$4:$A$12</c:f>
              <c:strCache>
                <c:ptCount val="8"/>
                <c:pt idx="0">
                  <c:v>Jan</c:v>
                </c:pt>
                <c:pt idx="1">
                  <c:v>Feb</c:v>
                </c:pt>
                <c:pt idx="2">
                  <c:v>Mar</c:v>
                </c:pt>
                <c:pt idx="3">
                  <c:v>Apr</c:v>
                </c:pt>
                <c:pt idx="4">
                  <c:v>May</c:v>
                </c:pt>
                <c:pt idx="5">
                  <c:v>Jun</c:v>
                </c:pt>
                <c:pt idx="6">
                  <c:v>Jul</c:v>
                </c:pt>
                <c:pt idx="7">
                  <c:v>Aug</c:v>
                </c:pt>
              </c:strCache>
            </c:strRef>
          </c:cat>
          <c:val>
            <c:numRef>
              <c:f>Pivot!$B$4:$B$12</c:f>
              <c:numCache>
                <c:formatCode>General</c:formatCode>
                <c:ptCount val="8"/>
                <c:pt idx="0">
                  <c:v>1070</c:v>
                </c:pt>
                <c:pt idx="1">
                  <c:v>1233</c:v>
                </c:pt>
                <c:pt idx="2">
                  <c:v>546</c:v>
                </c:pt>
                <c:pt idx="3">
                  <c:v>1940</c:v>
                </c:pt>
                <c:pt idx="4">
                  <c:v>288</c:v>
                </c:pt>
                <c:pt idx="5">
                  <c:v>487</c:v>
                </c:pt>
                <c:pt idx="6">
                  <c:v>1553</c:v>
                </c:pt>
                <c:pt idx="7">
                  <c:v>375</c:v>
                </c:pt>
              </c:numCache>
            </c:numRef>
          </c:val>
          <c:smooth val="0"/>
          <c:extLst>
            <c:ext xmlns:c16="http://schemas.microsoft.com/office/drawing/2014/chart" uri="{C3380CC4-5D6E-409C-BE32-E72D297353CC}">
              <c16:uniqueId val="{00000000-877B-4538-8EBD-2789DBE4C64B}"/>
            </c:ext>
          </c:extLst>
        </c:ser>
        <c:dLbls>
          <c:showLegendKey val="0"/>
          <c:showVal val="0"/>
          <c:showCatName val="0"/>
          <c:showSerName val="0"/>
          <c:showPercent val="0"/>
          <c:showBubbleSize val="0"/>
        </c:dLbls>
        <c:marker val="1"/>
        <c:smooth val="0"/>
        <c:axId val="210659856"/>
        <c:axId val="211830352"/>
      </c:lineChart>
      <c:catAx>
        <c:axId val="21065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0352"/>
        <c:crosses val="autoZero"/>
        <c:auto val="1"/>
        <c:lblAlgn val="ctr"/>
        <c:lblOffset val="100"/>
        <c:noMultiLvlLbl val="0"/>
      </c:catAx>
      <c:valAx>
        <c:axId val="21183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[Swiggy sales analysis.xlsx]Pivot!PivotTable4</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Food type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Pivot!$E$3</c:f>
              <c:strCache>
                <c:ptCount val="1"/>
                <c:pt idx="0">
                  <c:v>Total</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6AD-4829-93E8-4AA5A83E73E2}"/>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6AD-4829-93E8-4AA5A83E73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Pivot!$D$4:$D$6</c:f>
              <c:strCache>
                <c:ptCount val="2"/>
                <c:pt idx="0">
                  <c:v>Non-Veg</c:v>
                </c:pt>
                <c:pt idx="1">
                  <c:v>Veg</c:v>
                </c:pt>
              </c:strCache>
            </c:strRef>
          </c:cat>
          <c:val>
            <c:numRef>
              <c:f>Pivot!$E$4:$E$6</c:f>
              <c:numCache>
                <c:formatCode>General</c:formatCode>
                <c:ptCount val="2"/>
                <c:pt idx="0">
                  <c:v>2752</c:v>
                </c:pt>
                <c:pt idx="1">
                  <c:v>4740</c:v>
                </c:pt>
              </c:numCache>
            </c:numRef>
          </c:val>
          <c:extLst>
            <c:ext xmlns:c16="http://schemas.microsoft.com/office/drawing/2014/chart" uri="{C3380CC4-5D6E-409C-BE32-E72D297353CC}">
              <c16:uniqueId val="{00000004-26AD-4829-93E8-4AA5A83E73E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sales analysis.xlsx]Pivot!PivotTable10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Restaurant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Pivot!$N$3</c:f>
              <c:strCache>
                <c:ptCount val="1"/>
                <c:pt idx="0">
                  <c:v>Total</c:v>
                </c:pt>
              </c:strCache>
            </c:strRef>
          </c:tx>
          <c:spPr>
            <a:solidFill>
              <a:schemeClr val="accent2"/>
            </a:solidFill>
            <a:ln>
              <a:noFill/>
            </a:ln>
            <a:effectLst/>
            <a:sp3d/>
          </c:spPr>
          <c:invertIfNegative val="0"/>
          <c:cat>
            <c:strRef>
              <c:f>Pivot!$M$4:$M$23</c:f>
              <c:strCache>
                <c:ptCount val="19"/>
                <c:pt idx="0">
                  <c:v>2</c:v>
                </c:pt>
                <c:pt idx="1">
                  <c:v>3</c:v>
                </c:pt>
                <c:pt idx="2">
                  <c:v>4</c:v>
                </c:pt>
                <c:pt idx="3">
                  <c:v>5</c:v>
                </c:pt>
                <c:pt idx="4">
                  <c:v>7</c:v>
                </c:pt>
                <c:pt idx="5">
                  <c:v>9</c:v>
                </c:pt>
                <c:pt idx="6">
                  <c:v>10</c:v>
                </c:pt>
                <c:pt idx="7">
                  <c:v>14</c:v>
                </c:pt>
                <c:pt idx="8">
                  <c:v>15</c:v>
                </c:pt>
                <c:pt idx="9">
                  <c:v>16</c:v>
                </c:pt>
                <c:pt idx="10">
                  <c:v>17</c:v>
                </c:pt>
                <c:pt idx="11">
                  <c:v>19</c:v>
                </c:pt>
                <c:pt idx="12">
                  <c:v>24</c:v>
                </c:pt>
                <c:pt idx="13">
                  <c:v>26</c:v>
                </c:pt>
                <c:pt idx="14">
                  <c:v>27</c:v>
                </c:pt>
                <c:pt idx="15">
                  <c:v>28</c:v>
                </c:pt>
                <c:pt idx="16">
                  <c:v>30</c:v>
                </c:pt>
                <c:pt idx="17">
                  <c:v>33</c:v>
                </c:pt>
                <c:pt idx="18">
                  <c:v>34</c:v>
                </c:pt>
              </c:strCache>
            </c:strRef>
          </c:cat>
          <c:val>
            <c:numRef>
              <c:f>Pivot!$N$4:$N$23</c:f>
              <c:numCache>
                <c:formatCode>General</c:formatCode>
                <c:ptCount val="19"/>
                <c:pt idx="0">
                  <c:v>163</c:v>
                </c:pt>
                <c:pt idx="1">
                  <c:v>297</c:v>
                </c:pt>
                <c:pt idx="2">
                  <c:v>258</c:v>
                </c:pt>
                <c:pt idx="3">
                  <c:v>352</c:v>
                </c:pt>
                <c:pt idx="4">
                  <c:v>1011</c:v>
                </c:pt>
                <c:pt idx="5">
                  <c:v>486</c:v>
                </c:pt>
                <c:pt idx="6">
                  <c:v>282</c:v>
                </c:pt>
                <c:pt idx="7">
                  <c:v>393</c:v>
                </c:pt>
                <c:pt idx="8">
                  <c:v>877</c:v>
                </c:pt>
                <c:pt idx="9">
                  <c:v>506</c:v>
                </c:pt>
                <c:pt idx="10">
                  <c:v>164</c:v>
                </c:pt>
                <c:pt idx="11">
                  <c:v>288</c:v>
                </c:pt>
                <c:pt idx="12">
                  <c:v>239</c:v>
                </c:pt>
                <c:pt idx="13">
                  <c:v>248</c:v>
                </c:pt>
                <c:pt idx="14">
                  <c:v>372</c:v>
                </c:pt>
                <c:pt idx="15">
                  <c:v>134</c:v>
                </c:pt>
                <c:pt idx="16">
                  <c:v>1047</c:v>
                </c:pt>
                <c:pt idx="17">
                  <c:v>216</c:v>
                </c:pt>
                <c:pt idx="18">
                  <c:v>159</c:v>
                </c:pt>
              </c:numCache>
            </c:numRef>
          </c:val>
          <c:extLst>
            <c:ext xmlns:c16="http://schemas.microsoft.com/office/drawing/2014/chart" uri="{C3380CC4-5D6E-409C-BE32-E72D297353CC}">
              <c16:uniqueId val="{00000000-0EBB-486D-A54A-987A727FD09B}"/>
            </c:ext>
          </c:extLst>
        </c:ser>
        <c:dLbls>
          <c:showLegendKey val="0"/>
          <c:showVal val="0"/>
          <c:showCatName val="0"/>
          <c:showSerName val="0"/>
          <c:showPercent val="0"/>
          <c:showBubbleSize val="0"/>
        </c:dLbls>
        <c:gapWidth val="150"/>
        <c:shape val="box"/>
        <c:axId val="258740336"/>
        <c:axId val="211857712"/>
        <c:axId val="1925636735"/>
      </c:bar3DChart>
      <c:catAx>
        <c:axId val="258740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57712"/>
        <c:crosses val="autoZero"/>
        <c:auto val="1"/>
        <c:lblAlgn val="ctr"/>
        <c:lblOffset val="100"/>
        <c:noMultiLvlLbl val="0"/>
      </c:catAx>
      <c:valAx>
        <c:axId val="21185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40336"/>
        <c:crosses val="autoZero"/>
        <c:crossBetween val="between"/>
      </c:valAx>
      <c:serAx>
        <c:axId val="19256367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577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sales analysis.xlsx]Pivot!PivotTable8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c:f>
              <c:strCache>
                <c:ptCount val="1"/>
                <c:pt idx="0">
                  <c:v>Total</c:v>
                </c:pt>
              </c:strCache>
            </c:strRef>
          </c:tx>
          <c:spPr>
            <a:solidFill>
              <a:schemeClr val="accent2"/>
            </a:solidFill>
            <a:ln>
              <a:noFill/>
            </a:ln>
            <a:effectLst/>
          </c:spPr>
          <c:invertIfNegative val="0"/>
          <c:cat>
            <c:strRef>
              <c:f>Pivot!$J$4:$J$16</c:f>
              <c:strCache>
                <c:ptCount val="12"/>
                <c:pt idx="0">
                  <c:v>Ahmedabad</c:v>
                </c:pt>
                <c:pt idx="1">
                  <c:v>Bengaluru</c:v>
                </c:pt>
                <c:pt idx="2">
                  <c:v>Coimbatore</c:v>
                </c:pt>
                <c:pt idx="3">
                  <c:v>Guwahati</c:v>
                </c:pt>
                <c:pt idx="4">
                  <c:v>Hyderabad</c:v>
                </c:pt>
                <c:pt idx="5">
                  <c:v>Jaipur</c:v>
                </c:pt>
                <c:pt idx="6">
                  <c:v>Kolkata</c:v>
                </c:pt>
                <c:pt idx="7">
                  <c:v>Lucknow</c:v>
                </c:pt>
                <c:pt idx="8">
                  <c:v>New Delhi</c:v>
                </c:pt>
                <c:pt idx="9">
                  <c:v>Panaji</c:v>
                </c:pt>
                <c:pt idx="10">
                  <c:v>Patna</c:v>
                </c:pt>
                <c:pt idx="11">
                  <c:v>Surat</c:v>
                </c:pt>
              </c:strCache>
            </c:strRef>
          </c:cat>
          <c:val>
            <c:numRef>
              <c:f>Pivot!$K$4:$K$16</c:f>
              <c:numCache>
                <c:formatCode>General</c:formatCode>
                <c:ptCount val="12"/>
                <c:pt idx="0">
                  <c:v>216</c:v>
                </c:pt>
                <c:pt idx="1">
                  <c:v>403</c:v>
                </c:pt>
                <c:pt idx="2">
                  <c:v>553</c:v>
                </c:pt>
                <c:pt idx="3">
                  <c:v>405</c:v>
                </c:pt>
                <c:pt idx="4">
                  <c:v>983</c:v>
                </c:pt>
                <c:pt idx="5">
                  <c:v>1317</c:v>
                </c:pt>
                <c:pt idx="6">
                  <c:v>163</c:v>
                </c:pt>
                <c:pt idx="7">
                  <c:v>691</c:v>
                </c:pt>
                <c:pt idx="8">
                  <c:v>882</c:v>
                </c:pt>
                <c:pt idx="9">
                  <c:v>815</c:v>
                </c:pt>
                <c:pt idx="10">
                  <c:v>417</c:v>
                </c:pt>
                <c:pt idx="11">
                  <c:v>647</c:v>
                </c:pt>
              </c:numCache>
            </c:numRef>
          </c:val>
          <c:extLst>
            <c:ext xmlns:c16="http://schemas.microsoft.com/office/drawing/2014/chart" uri="{C3380CC4-5D6E-409C-BE32-E72D297353CC}">
              <c16:uniqueId val="{00000000-C99F-4961-936B-E8BB028FAB70}"/>
            </c:ext>
          </c:extLst>
        </c:ser>
        <c:dLbls>
          <c:showLegendKey val="0"/>
          <c:showVal val="0"/>
          <c:showCatName val="0"/>
          <c:showSerName val="0"/>
          <c:showPercent val="0"/>
          <c:showBubbleSize val="0"/>
        </c:dLbls>
        <c:gapWidth val="182"/>
        <c:axId val="258762144"/>
        <c:axId val="211828912"/>
      </c:barChart>
      <c:catAx>
        <c:axId val="25876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28912"/>
        <c:crosses val="autoZero"/>
        <c:auto val="1"/>
        <c:lblAlgn val="ctr"/>
        <c:lblOffset val="100"/>
        <c:noMultiLvlLbl val="0"/>
      </c:catAx>
      <c:valAx>
        <c:axId val="21182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6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sales analysis.xlsx]Pivot!PivotTable6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65048118985121"/>
          <c:y val="0.13365522018081072"/>
          <c:w val="0.57405314960629916"/>
          <c:h val="0.6293157626130067"/>
        </c:manualLayout>
      </c:layout>
      <c:barChart>
        <c:barDir val="bar"/>
        <c:grouping val="clustered"/>
        <c:varyColors val="0"/>
        <c:ser>
          <c:idx val="0"/>
          <c:order val="0"/>
          <c:tx>
            <c:strRef>
              <c:f>Pivot!$H$3</c:f>
              <c:strCache>
                <c:ptCount val="1"/>
                <c:pt idx="0">
                  <c:v>Total</c:v>
                </c:pt>
              </c:strCache>
            </c:strRef>
          </c:tx>
          <c:spPr>
            <a:solidFill>
              <a:schemeClr val="accent2"/>
            </a:solidFill>
            <a:ln>
              <a:noFill/>
            </a:ln>
            <a:effectLst/>
          </c:spPr>
          <c:invertIfNegative val="0"/>
          <c:cat>
            <c:strRef>
              <c:f>Pivot!$G$4:$G$11</c:f>
              <c:strCache>
                <c:ptCount val="7"/>
                <c:pt idx="0">
                  <c:v>Mon</c:v>
                </c:pt>
                <c:pt idx="1">
                  <c:v>Tue</c:v>
                </c:pt>
                <c:pt idx="2">
                  <c:v>Wed</c:v>
                </c:pt>
                <c:pt idx="3">
                  <c:v>Thu</c:v>
                </c:pt>
                <c:pt idx="4">
                  <c:v>Fri</c:v>
                </c:pt>
                <c:pt idx="5">
                  <c:v>Sat</c:v>
                </c:pt>
                <c:pt idx="6">
                  <c:v>Sun</c:v>
                </c:pt>
              </c:strCache>
            </c:strRef>
          </c:cat>
          <c:val>
            <c:numRef>
              <c:f>Pivot!$H$4:$H$11</c:f>
              <c:numCache>
                <c:formatCode>General</c:formatCode>
                <c:ptCount val="7"/>
                <c:pt idx="0">
                  <c:v>1586</c:v>
                </c:pt>
                <c:pt idx="1">
                  <c:v>898</c:v>
                </c:pt>
                <c:pt idx="2">
                  <c:v>987</c:v>
                </c:pt>
                <c:pt idx="3">
                  <c:v>731</c:v>
                </c:pt>
                <c:pt idx="4">
                  <c:v>1067</c:v>
                </c:pt>
                <c:pt idx="5">
                  <c:v>1251</c:v>
                </c:pt>
                <c:pt idx="6">
                  <c:v>972</c:v>
                </c:pt>
              </c:numCache>
            </c:numRef>
          </c:val>
          <c:extLst>
            <c:ext xmlns:c16="http://schemas.microsoft.com/office/drawing/2014/chart" uri="{C3380CC4-5D6E-409C-BE32-E72D297353CC}">
              <c16:uniqueId val="{00000000-0A74-4F2A-8073-5DCB37B6130D}"/>
            </c:ext>
          </c:extLst>
        </c:ser>
        <c:dLbls>
          <c:showLegendKey val="0"/>
          <c:showVal val="0"/>
          <c:showCatName val="0"/>
          <c:showSerName val="0"/>
          <c:showPercent val="0"/>
          <c:showBubbleSize val="0"/>
        </c:dLbls>
        <c:gapWidth val="182"/>
        <c:axId val="205721264"/>
        <c:axId val="211840432"/>
      </c:barChart>
      <c:catAx>
        <c:axId val="20572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40432"/>
        <c:crosses val="autoZero"/>
        <c:auto val="1"/>
        <c:lblAlgn val="ctr"/>
        <c:lblOffset val="100"/>
        <c:noMultiLvlLbl val="0"/>
      </c:catAx>
      <c:valAx>
        <c:axId val="21184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146050</xdr:rowOff>
    </xdr:from>
    <xdr:to>
      <xdr:col>3</xdr:col>
      <xdr:colOff>546100</xdr:colOff>
      <xdr:row>26</xdr:row>
      <xdr:rowOff>76200</xdr:rowOff>
    </xdr:to>
    <xdr:graphicFrame macro="">
      <xdr:nvGraphicFramePr>
        <xdr:cNvPr id="2" name="Chart 1">
          <a:extLst>
            <a:ext uri="{FF2B5EF4-FFF2-40B4-BE49-F238E27FC236}">
              <a16:creationId xmlns:a16="http://schemas.microsoft.com/office/drawing/2014/main" id="{804483A1-487D-242E-CAED-BBF05F31B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120650</xdr:colOff>
      <xdr:row>15</xdr:row>
      <xdr:rowOff>88899</xdr:rowOff>
    </xdr:from>
    <xdr:to>
      <xdr:col>7</xdr:col>
      <xdr:colOff>349250</xdr:colOff>
      <xdr:row>24</xdr:row>
      <xdr:rowOff>50800</xdr:rowOff>
    </xdr:to>
    <xdr:graphicFrame macro="">
      <xdr:nvGraphicFramePr>
        <xdr:cNvPr id="3" name="Chart 2">
          <a:extLst>
            <a:ext uri="{FF2B5EF4-FFF2-40B4-BE49-F238E27FC236}">
              <a16:creationId xmlns:a16="http://schemas.microsoft.com/office/drawing/2014/main" id="{AF11F66E-617C-7945-DB7E-8849D42AF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177799</xdr:rowOff>
    </xdr:from>
    <xdr:to>
      <xdr:col>3</xdr:col>
      <xdr:colOff>82550</xdr:colOff>
      <xdr:row>36</xdr:row>
      <xdr:rowOff>3174</xdr:rowOff>
    </xdr:to>
    <xdr:graphicFrame macro="">
      <xdr:nvGraphicFramePr>
        <xdr:cNvPr id="4" name="Chart 3">
          <a:extLst>
            <a:ext uri="{FF2B5EF4-FFF2-40B4-BE49-F238E27FC236}">
              <a16:creationId xmlns:a16="http://schemas.microsoft.com/office/drawing/2014/main" id="{8B283180-4DB6-064C-5BB9-1B4859A25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266700</xdr:colOff>
      <xdr:row>26</xdr:row>
      <xdr:rowOff>111125</xdr:rowOff>
    </xdr:from>
    <xdr:to>
      <xdr:col>6</xdr:col>
      <xdr:colOff>603250</xdr:colOff>
      <xdr:row>34</xdr:row>
      <xdr:rowOff>101600</xdr:rowOff>
    </xdr:to>
    <xdr:graphicFrame macro="">
      <xdr:nvGraphicFramePr>
        <xdr:cNvPr id="5" name="Chart 4">
          <a:extLst>
            <a:ext uri="{FF2B5EF4-FFF2-40B4-BE49-F238E27FC236}">
              <a16:creationId xmlns:a16="http://schemas.microsoft.com/office/drawing/2014/main" id="{35870118-3A14-7C08-B258-D859EE31D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615950</xdr:colOff>
      <xdr:row>17</xdr:row>
      <xdr:rowOff>6349</xdr:rowOff>
    </xdr:from>
    <xdr:to>
      <xdr:col>11</xdr:col>
      <xdr:colOff>387350</xdr:colOff>
      <xdr:row>26</xdr:row>
      <xdr:rowOff>79374</xdr:rowOff>
    </xdr:to>
    <xdr:graphicFrame macro="">
      <xdr:nvGraphicFramePr>
        <xdr:cNvPr id="6" name="Chart 5">
          <a:extLst>
            <a:ext uri="{FF2B5EF4-FFF2-40B4-BE49-F238E27FC236}">
              <a16:creationId xmlns:a16="http://schemas.microsoft.com/office/drawing/2014/main" id="{23D8A0B9-6517-2971-49B7-168D4890F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438150</xdr:colOff>
      <xdr:row>10</xdr:row>
      <xdr:rowOff>158750</xdr:rowOff>
    </xdr:from>
    <xdr:to>
      <xdr:col>17</xdr:col>
      <xdr:colOff>438150</xdr:colOff>
      <xdr:row>24</xdr:row>
      <xdr:rowOff>104775</xdr:rowOff>
    </xdr:to>
    <mc:AlternateContent xmlns:mc="http://schemas.openxmlformats.org/markup-compatibility/2006">
      <mc:Choice xmlns:a14="http://schemas.microsoft.com/office/drawing/2010/main" Requires="a14">
        <xdr:graphicFrame macro="">
          <xdr:nvGraphicFramePr>
            <xdr:cNvPr id="10" name="Restaurant Name">
              <a:extLst>
                <a:ext uri="{FF2B5EF4-FFF2-40B4-BE49-F238E27FC236}">
                  <a16:creationId xmlns:a16="http://schemas.microsoft.com/office/drawing/2014/main" id="{68E78B4D-A5C4-0F27-07E1-43B51FC29597}"/>
                </a:ext>
              </a:extLst>
            </xdr:cNvPr>
            <xdr:cNvGraphicFramePr/>
          </xdr:nvGraphicFramePr>
          <xdr:xfrm>
            <a:off x="0" y="0"/>
            <a:ext cx="0" cy="0"/>
          </xdr:xfrm>
          <a:graphic>
            <a:graphicData uri="http://schemas.microsoft.com/office/drawing/2010/slicer">
              <sle:slicer xmlns:sle="http://schemas.microsoft.com/office/drawing/2010/slicer" name="Restaurant Name"/>
            </a:graphicData>
          </a:graphic>
        </xdr:graphicFrame>
      </mc:Choice>
      <mc:Fallback>
        <xdr:sp macro="" textlink="">
          <xdr:nvSpPr>
            <xdr:cNvPr id="0" name=""/>
            <xdr:cNvSpPr>
              <a:spLocks noTextEdit="1"/>
            </xdr:cNvSpPr>
          </xdr:nvSpPr>
          <xdr:spPr>
            <a:xfrm>
              <a:off x="11131550" y="2000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292100</xdr:colOff>
      <xdr:row>24</xdr:row>
      <xdr:rowOff>114300</xdr:rowOff>
    </xdr:from>
    <xdr:to>
      <xdr:col>14</xdr:col>
      <xdr:colOff>469900</xdr:colOff>
      <xdr:row>29</xdr:row>
      <xdr:rowOff>92075</xdr:rowOff>
    </xdr:to>
    <mc:AlternateContent xmlns:mc="http://schemas.openxmlformats.org/markup-compatibility/2006">
      <mc:Choice xmlns:a14="http://schemas.microsoft.com/office/drawing/2010/main" Requires="a14">
        <xdr:graphicFrame macro="">
          <xdr:nvGraphicFramePr>
            <xdr:cNvPr id="11" name="Food Type">
              <a:extLst>
                <a:ext uri="{FF2B5EF4-FFF2-40B4-BE49-F238E27FC236}">
                  <a16:creationId xmlns:a16="http://schemas.microsoft.com/office/drawing/2014/main" id="{0431BCC6-ACDF-AF8C-2E96-6E44A331F102}"/>
                </a:ext>
              </a:extLst>
            </xdr:cNvPr>
            <xdr:cNvGraphicFramePr/>
          </xdr:nvGraphicFramePr>
          <xdr:xfrm>
            <a:off x="0" y="0"/>
            <a:ext cx="0" cy="0"/>
          </xdr:xfrm>
          <a:graphic>
            <a:graphicData uri="http://schemas.microsoft.com/office/drawing/2010/slicer">
              <sle:slicer xmlns:sle="http://schemas.microsoft.com/office/drawing/2010/slicer" name="Food Type"/>
            </a:graphicData>
          </a:graphic>
        </xdr:graphicFrame>
      </mc:Choice>
      <mc:Fallback>
        <xdr:sp macro="" textlink="">
          <xdr:nvSpPr>
            <xdr:cNvPr id="0" name=""/>
            <xdr:cNvSpPr>
              <a:spLocks noTextEdit="1"/>
            </xdr:cNvSpPr>
          </xdr:nvSpPr>
          <xdr:spPr>
            <a:xfrm>
              <a:off x="9334500" y="4533900"/>
              <a:ext cx="1828800" cy="898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1</xdr:row>
      <xdr:rowOff>0</xdr:rowOff>
    </xdr:from>
    <xdr:to>
      <xdr:col>2</xdr:col>
      <xdr:colOff>190500</xdr:colOff>
      <xdr:row>5</xdr:row>
      <xdr:rowOff>161925</xdr:rowOff>
    </xdr:to>
    <mc:AlternateContent xmlns:mc="http://schemas.openxmlformats.org/markup-compatibility/2006">
      <mc:Choice xmlns:a14="http://schemas.microsoft.com/office/drawing/2010/main" Requires="a14">
        <xdr:graphicFrame macro="">
          <xdr:nvGraphicFramePr>
            <xdr:cNvPr id="2" name="Food Type 1">
              <a:extLst>
                <a:ext uri="{FF2B5EF4-FFF2-40B4-BE49-F238E27FC236}">
                  <a16:creationId xmlns:a16="http://schemas.microsoft.com/office/drawing/2014/main" id="{C4BA6457-D819-4E60-87E4-39340BE3B2A6}"/>
                </a:ext>
              </a:extLst>
            </xdr:cNvPr>
            <xdr:cNvGraphicFramePr/>
          </xdr:nvGraphicFramePr>
          <xdr:xfrm>
            <a:off x="0" y="0"/>
            <a:ext cx="0" cy="0"/>
          </xdr:xfrm>
          <a:graphic>
            <a:graphicData uri="http://schemas.microsoft.com/office/drawing/2010/slicer">
              <sle:slicer xmlns:sle="http://schemas.microsoft.com/office/drawing/2010/slicer" name="Food Type 1"/>
            </a:graphicData>
          </a:graphic>
        </xdr:graphicFrame>
      </mc:Choice>
      <mc:Fallback>
        <xdr:sp macro="" textlink="">
          <xdr:nvSpPr>
            <xdr:cNvPr id="0" name=""/>
            <xdr:cNvSpPr>
              <a:spLocks noTextEdit="1"/>
            </xdr:cNvSpPr>
          </xdr:nvSpPr>
          <xdr:spPr>
            <a:xfrm>
              <a:off x="95250" y="186121"/>
              <a:ext cx="1321457" cy="906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324519</xdr:colOff>
      <xdr:row>0</xdr:row>
      <xdr:rowOff>120317</xdr:rowOff>
    </xdr:from>
    <xdr:to>
      <xdr:col>4</xdr:col>
      <xdr:colOff>476918</xdr:colOff>
      <xdr:row>7</xdr:row>
      <xdr:rowOff>152067</xdr:rowOff>
    </xdr:to>
    <mc:AlternateContent xmlns:mc="http://schemas.openxmlformats.org/markup-compatibility/2006">
      <mc:Choice xmlns:a14="http://schemas.microsoft.com/office/drawing/2010/main" Requires="a14">
        <xdr:graphicFrame macro="">
          <xdr:nvGraphicFramePr>
            <xdr:cNvPr id="3" name="Restaurant Name 1">
              <a:extLst>
                <a:ext uri="{FF2B5EF4-FFF2-40B4-BE49-F238E27FC236}">
                  <a16:creationId xmlns:a16="http://schemas.microsoft.com/office/drawing/2014/main" id="{A778F986-E890-4850-B9CD-8569768D143B}"/>
                </a:ext>
              </a:extLst>
            </xdr:cNvPr>
            <xdr:cNvGraphicFramePr/>
          </xdr:nvGraphicFramePr>
          <xdr:xfrm>
            <a:off x="0" y="0"/>
            <a:ext cx="0" cy="0"/>
          </xdr:xfrm>
          <a:graphic>
            <a:graphicData uri="http://schemas.microsoft.com/office/drawing/2010/slicer">
              <sle:slicer xmlns:sle="http://schemas.microsoft.com/office/drawing/2010/slicer" name="Restaurant Name 1"/>
            </a:graphicData>
          </a:graphic>
        </xdr:graphicFrame>
      </mc:Choice>
      <mc:Fallback>
        <xdr:sp macro="" textlink="">
          <xdr:nvSpPr>
            <xdr:cNvPr id="0" name=""/>
            <xdr:cNvSpPr>
              <a:spLocks noTextEdit="1"/>
            </xdr:cNvSpPr>
          </xdr:nvSpPr>
          <xdr:spPr>
            <a:xfrm>
              <a:off x="1550726" y="120317"/>
              <a:ext cx="1378606" cy="133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88231</xdr:colOff>
      <xdr:row>0</xdr:row>
      <xdr:rowOff>106615</xdr:rowOff>
    </xdr:from>
    <xdr:to>
      <xdr:col>7</xdr:col>
      <xdr:colOff>234281</xdr:colOff>
      <xdr:row>7</xdr:row>
      <xdr:rowOff>73527</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E46E2446-FC8C-4C6B-93ED-C6E640DA2D3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153748" y="106615"/>
              <a:ext cx="1372257" cy="1269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416092</xdr:colOff>
      <xdr:row>0</xdr:row>
      <xdr:rowOff>100932</xdr:rowOff>
    </xdr:from>
    <xdr:to>
      <xdr:col>10</xdr:col>
      <xdr:colOff>11028</xdr:colOff>
      <xdr:row>7</xdr:row>
      <xdr:rowOff>127000</xdr:rowOff>
    </xdr:to>
    <mc:AlternateContent xmlns:mc="http://schemas.openxmlformats.org/markup-compatibility/2006">
      <mc:Choice xmlns:a14="http://schemas.microsoft.com/office/drawing/2010/main" Requires="a14">
        <xdr:graphicFrame macro="">
          <xdr:nvGraphicFramePr>
            <xdr:cNvPr id="5" name="State">
              <a:extLst>
                <a:ext uri="{FF2B5EF4-FFF2-40B4-BE49-F238E27FC236}">
                  <a16:creationId xmlns:a16="http://schemas.microsoft.com/office/drawing/2014/main" id="{D543E104-DC32-4960-8E4D-6A6CC840FAF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707816" y="100932"/>
              <a:ext cx="1434246" cy="1328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160420</xdr:colOff>
      <xdr:row>0</xdr:row>
      <xdr:rowOff>100265</xdr:rowOff>
    </xdr:from>
    <xdr:to>
      <xdr:col>12</xdr:col>
      <xdr:colOff>452520</xdr:colOff>
      <xdr:row>7</xdr:row>
      <xdr:rowOff>170116</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EF986197-E88C-4CD7-92C6-0F10E806AAA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291454" y="100265"/>
              <a:ext cx="1518307" cy="1372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13368</xdr:colOff>
      <xdr:row>8</xdr:row>
      <xdr:rowOff>45787</xdr:rowOff>
    </xdr:from>
    <xdr:to>
      <xdr:col>3</xdr:col>
      <xdr:colOff>475582</xdr:colOff>
      <xdr:row>18</xdr:row>
      <xdr:rowOff>115637</xdr:rowOff>
    </xdr:to>
    <xdr:graphicFrame macro="">
      <xdr:nvGraphicFramePr>
        <xdr:cNvPr id="8" name="Chart 7">
          <a:extLst>
            <a:ext uri="{FF2B5EF4-FFF2-40B4-BE49-F238E27FC236}">
              <a16:creationId xmlns:a16="http://schemas.microsoft.com/office/drawing/2014/main" id="{03032FD3-86A6-400E-8FA0-019918986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30745</xdr:colOff>
      <xdr:row>8</xdr:row>
      <xdr:rowOff>164434</xdr:rowOff>
    </xdr:from>
    <xdr:to>
      <xdr:col>8</xdr:col>
      <xdr:colOff>386346</xdr:colOff>
      <xdr:row>15</xdr:row>
      <xdr:rowOff>81883</xdr:rowOff>
    </xdr:to>
    <xdr:graphicFrame macro="">
      <xdr:nvGraphicFramePr>
        <xdr:cNvPr id="9" name="Chart 8">
          <a:extLst>
            <a:ext uri="{FF2B5EF4-FFF2-40B4-BE49-F238E27FC236}">
              <a16:creationId xmlns:a16="http://schemas.microsoft.com/office/drawing/2014/main" id="{CC3445F7-22DF-4883-9440-FD1FC763C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26736</xdr:colOff>
      <xdr:row>23</xdr:row>
      <xdr:rowOff>66842</xdr:rowOff>
    </xdr:from>
    <xdr:to>
      <xdr:col>8</xdr:col>
      <xdr:colOff>407737</xdr:colOff>
      <xdr:row>31</xdr:row>
      <xdr:rowOff>130341</xdr:rowOff>
    </xdr:to>
    <xdr:graphicFrame macro="">
      <xdr:nvGraphicFramePr>
        <xdr:cNvPr id="10" name="Chart 9">
          <a:extLst>
            <a:ext uri="{FF2B5EF4-FFF2-40B4-BE49-F238E27FC236}">
              <a16:creationId xmlns:a16="http://schemas.microsoft.com/office/drawing/2014/main" id="{05D3E838-6F99-481E-973F-4F6B06182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60157</xdr:colOff>
      <xdr:row>16</xdr:row>
      <xdr:rowOff>40107</xdr:rowOff>
    </xdr:from>
    <xdr:to>
      <xdr:col>8</xdr:col>
      <xdr:colOff>530058</xdr:colOff>
      <xdr:row>22</xdr:row>
      <xdr:rowOff>116307</xdr:rowOff>
    </xdr:to>
    <xdr:graphicFrame macro="">
      <xdr:nvGraphicFramePr>
        <xdr:cNvPr id="11" name="Chart 10">
          <a:extLst>
            <a:ext uri="{FF2B5EF4-FFF2-40B4-BE49-F238E27FC236}">
              <a16:creationId xmlns:a16="http://schemas.microsoft.com/office/drawing/2014/main" id="{400D8B98-C0A0-4365-8A45-90DE9DA1E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40105</xdr:colOff>
      <xdr:row>19</xdr:row>
      <xdr:rowOff>100263</xdr:rowOff>
    </xdr:from>
    <xdr:to>
      <xdr:col>3</xdr:col>
      <xdr:colOff>554456</xdr:colOff>
      <xdr:row>28</xdr:row>
      <xdr:rowOff>109788</xdr:rowOff>
    </xdr:to>
    <xdr:graphicFrame macro="">
      <xdr:nvGraphicFramePr>
        <xdr:cNvPr id="12" name="Chart 11">
          <a:extLst>
            <a:ext uri="{FF2B5EF4-FFF2-40B4-BE49-F238E27FC236}">
              <a16:creationId xmlns:a16="http://schemas.microsoft.com/office/drawing/2014/main" id="{92899297-029D-4B2F-97C1-CA219A496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213893</xdr:colOff>
      <xdr:row>9</xdr:row>
      <xdr:rowOff>93579</xdr:rowOff>
    </xdr:from>
    <xdr:to>
      <xdr:col>16</xdr:col>
      <xdr:colOff>189551</xdr:colOff>
      <xdr:row>34</xdr:row>
      <xdr:rowOff>56866</xdr:rowOff>
    </xdr:to>
    <xdr:pic>
      <xdr:nvPicPr>
        <xdr:cNvPr id="14" name="Picture 13">
          <a:extLst>
            <a:ext uri="{FF2B5EF4-FFF2-40B4-BE49-F238E27FC236}">
              <a16:creationId xmlns:a16="http://schemas.microsoft.com/office/drawing/2014/main" id="{C1062514-2791-4B22-FF19-98A7EA8DDA9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672997" y="1714251"/>
          <a:ext cx="4221629" cy="446515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6.728111574077" createdVersion="8" refreshedVersion="8" minRefreshableVersion="3" recordCount="30" xr:uid="{96DC4E88-3590-4330-8B90-82600163D15A}">
  <cacheSource type="worksheet">
    <worksheetSource ref="A1:L31" sheet="Swiggy dataset"/>
  </cacheSource>
  <cacheFields count="12">
    <cacheField name="Order ID" numFmtId="0">
      <sharedItems containsSemiMixedTypes="0" containsString="0" containsNumber="1" containsInteger="1" minValue="1" maxValue="30"/>
    </cacheField>
    <cacheField name="Order Date" numFmtId="14">
      <sharedItems containsSemiMixedTypes="0" containsNonDate="0" containsDate="1" containsString="0" minDate="2024-01-10T00:00:00" maxDate="2024-08-23T00:00:00"/>
    </cacheField>
    <cacheField name="Month" numFmtId="0">
      <sharedItems count="8">
        <s v="Apr"/>
        <s v="Jul"/>
        <s v="Feb"/>
        <s v="May"/>
        <s v="Jan"/>
        <s v="Jun"/>
        <s v="Aug"/>
        <s v="Mar"/>
      </sharedItems>
    </cacheField>
    <cacheField name="Day Name" numFmtId="0">
      <sharedItems count="7">
        <s v="Mon"/>
        <s v="Tue"/>
        <s v="Sat"/>
        <s v="Sun"/>
        <s v="Fri"/>
        <s v="Wed"/>
        <s v="Thu"/>
      </sharedItems>
    </cacheField>
    <cacheField name="Week No" numFmtId="0">
      <sharedItems containsSemiMixedTypes="0" containsString="0" containsNumber="1" containsInteger="1" minValue="2" maxValue="34" count="19">
        <n v="15"/>
        <n v="17"/>
        <n v="30"/>
        <n v="7"/>
        <n v="14"/>
        <n v="19"/>
        <n v="16"/>
        <n v="27"/>
        <n v="9"/>
        <n v="2"/>
        <n v="24"/>
        <n v="33"/>
        <n v="34"/>
        <n v="3"/>
        <n v="4"/>
        <n v="26"/>
        <n v="5"/>
        <n v="28"/>
        <n v="10"/>
      </sharedItems>
    </cacheField>
    <cacheField name="Quarter" numFmtId="0">
      <sharedItems/>
    </cacheField>
    <cacheField name="State" numFmtId="0">
      <sharedItems count="11">
        <s v="Telangana"/>
        <s v="Karnataka"/>
        <s v="Uttar Pradesh"/>
        <s v="Rajasthan"/>
        <s v="Gujarat"/>
        <s v="Tamil Nadu"/>
        <s v="West Bengal"/>
        <s v="Assam"/>
        <s v="Delhi"/>
        <s v="Bihar"/>
        <s v="Goa"/>
      </sharedItems>
    </cacheField>
    <cacheField name="City" numFmtId="0">
      <sharedItems count="12">
        <s v="Hyderabad"/>
        <s v="Bengaluru"/>
        <s v="Lucknow"/>
        <s v="Jaipur"/>
        <s v="Surat"/>
        <s v="Coimbatore"/>
        <s v="Kolkata"/>
        <s v="Guwahati"/>
        <s v="New Delhi"/>
        <s v="Ahmedabad"/>
        <s v="Patna"/>
        <s v="Panaji"/>
      </sharedItems>
    </cacheField>
    <cacheField name="Restaurant Name" numFmtId="0">
      <sharedItems count="11">
        <s v="Meghana Foods"/>
        <s v="KFC"/>
        <s v="Biryani Blues"/>
        <s v="Wow Momo"/>
        <s v="Dominoz"/>
        <s v="Behrouz"/>
        <s v="Amar Bhojnalya"/>
        <s v="Paradise"/>
        <s v="Aloo Pitika"/>
        <s v="Faasos"/>
        <s v="Alpha Pizza House"/>
      </sharedItems>
    </cacheField>
    <cacheField name="Food Type" numFmtId="0">
      <sharedItems count="2">
        <s v="Non-Veg"/>
        <s v="Veg"/>
      </sharedItems>
    </cacheField>
    <cacheField name="Sales" numFmtId="0">
      <sharedItems containsSemiMixedTypes="0" containsString="0" containsNumber="1" containsInteger="1" minValue="134" maxValue="387"/>
    </cacheField>
    <cacheField name="Rating" numFmtId="0">
      <sharedItems containsSemiMixedTypes="0" containsString="0" containsNumber="1" minValue="3.7" maxValue="4.8"/>
    </cacheField>
  </cacheFields>
  <extLst>
    <ext xmlns:x14="http://schemas.microsoft.com/office/spreadsheetml/2009/9/main" uri="{725AE2AE-9491-48be-B2B4-4EB974FC3084}">
      <x14:pivotCacheDefinition pivotCacheId="388513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d v="2024-04-08T00:00:00"/>
    <x v="0"/>
    <x v="0"/>
    <x v="0"/>
    <s v="Q2"/>
    <x v="0"/>
    <x v="0"/>
    <x v="0"/>
    <x v="0"/>
    <n v="374"/>
    <n v="4.3"/>
  </r>
  <r>
    <n v="2"/>
    <d v="2024-04-23T00:00:00"/>
    <x v="0"/>
    <x v="1"/>
    <x v="1"/>
    <s v="Q2"/>
    <x v="1"/>
    <x v="1"/>
    <x v="1"/>
    <x v="1"/>
    <n v="164"/>
    <n v="4.7"/>
  </r>
  <r>
    <n v="3"/>
    <d v="2024-07-27T00:00:00"/>
    <x v="1"/>
    <x v="2"/>
    <x v="2"/>
    <s v="Q3"/>
    <x v="2"/>
    <x v="2"/>
    <x v="2"/>
    <x v="0"/>
    <n v="210"/>
    <n v="4.3"/>
  </r>
  <r>
    <n v="4"/>
    <d v="2024-02-17T00:00:00"/>
    <x v="2"/>
    <x v="2"/>
    <x v="3"/>
    <s v="Q1"/>
    <x v="0"/>
    <x v="0"/>
    <x v="3"/>
    <x v="1"/>
    <n v="387"/>
    <n v="4.3"/>
  </r>
  <r>
    <n v="5"/>
    <d v="2024-04-07T00:00:00"/>
    <x v="0"/>
    <x v="3"/>
    <x v="4"/>
    <s v="Q2"/>
    <x v="2"/>
    <x v="2"/>
    <x v="4"/>
    <x v="1"/>
    <n v="215"/>
    <n v="4"/>
  </r>
  <r>
    <n v="6"/>
    <d v="2024-05-11T00:00:00"/>
    <x v="3"/>
    <x v="2"/>
    <x v="5"/>
    <s v="Q2"/>
    <x v="3"/>
    <x v="3"/>
    <x v="5"/>
    <x v="0"/>
    <n v="288"/>
    <n v="4.5"/>
  </r>
  <r>
    <n v="7"/>
    <d v="2024-04-19T00:00:00"/>
    <x v="0"/>
    <x v="4"/>
    <x v="6"/>
    <s v="Q2"/>
    <x v="2"/>
    <x v="2"/>
    <x v="6"/>
    <x v="1"/>
    <n v="266"/>
    <n v="3.8"/>
  </r>
  <r>
    <n v="8"/>
    <d v="2024-07-01T00:00:00"/>
    <x v="1"/>
    <x v="0"/>
    <x v="7"/>
    <s v="Q3"/>
    <x v="4"/>
    <x v="4"/>
    <x v="7"/>
    <x v="1"/>
    <n v="157"/>
    <n v="4.3"/>
  </r>
  <r>
    <n v="9"/>
    <d v="2024-02-26T00:00:00"/>
    <x v="2"/>
    <x v="0"/>
    <x v="8"/>
    <s v="Q1"/>
    <x v="0"/>
    <x v="0"/>
    <x v="8"/>
    <x v="1"/>
    <n v="222"/>
    <n v="4.5999999999999996"/>
  </r>
  <r>
    <n v="10"/>
    <d v="2024-02-18T00:00:00"/>
    <x v="2"/>
    <x v="3"/>
    <x v="3"/>
    <s v="Q1"/>
    <x v="5"/>
    <x v="5"/>
    <x v="3"/>
    <x v="1"/>
    <n v="321"/>
    <n v="4.5"/>
  </r>
  <r>
    <n v="11"/>
    <d v="2024-04-13T00:00:00"/>
    <x v="0"/>
    <x v="2"/>
    <x v="0"/>
    <s v="Q2"/>
    <x v="5"/>
    <x v="5"/>
    <x v="1"/>
    <x v="1"/>
    <n v="232"/>
    <n v="4.5999999999999996"/>
  </r>
  <r>
    <n v="12"/>
    <d v="2024-01-10T00:00:00"/>
    <x v="4"/>
    <x v="5"/>
    <x v="9"/>
    <s v="Q1"/>
    <x v="6"/>
    <x v="6"/>
    <x v="7"/>
    <x v="1"/>
    <n v="163"/>
    <n v="4.3"/>
  </r>
  <r>
    <n v="13"/>
    <d v="2024-04-09T00:00:00"/>
    <x v="0"/>
    <x v="1"/>
    <x v="0"/>
    <s v="Q2"/>
    <x v="7"/>
    <x v="7"/>
    <x v="2"/>
    <x v="0"/>
    <n v="271"/>
    <n v="4.3"/>
  </r>
  <r>
    <n v="14"/>
    <d v="2024-04-19T00:00:00"/>
    <x v="0"/>
    <x v="4"/>
    <x v="6"/>
    <s v="Q2"/>
    <x v="3"/>
    <x v="3"/>
    <x v="0"/>
    <x v="1"/>
    <n v="240"/>
    <n v="4.4000000000000004"/>
  </r>
  <r>
    <n v="15"/>
    <d v="2024-06-12T00:00:00"/>
    <x v="5"/>
    <x v="5"/>
    <x v="10"/>
    <s v="Q2"/>
    <x v="1"/>
    <x v="1"/>
    <x v="8"/>
    <x v="1"/>
    <n v="239"/>
    <n v="4.3"/>
  </r>
  <r>
    <n v="16"/>
    <d v="2024-02-14T00:00:00"/>
    <x v="2"/>
    <x v="5"/>
    <x v="3"/>
    <s v="Q1"/>
    <x v="8"/>
    <x v="8"/>
    <x v="6"/>
    <x v="0"/>
    <n v="303"/>
    <n v="4.8"/>
  </r>
  <r>
    <n v="17"/>
    <d v="2024-08-12T00:00:00"/>
    <x v="6"/>
    <x v="0"/>
    <x v="11"/>
    <s v="Q3"/>
    <x v="4"/>
    <x v="9"/>
    <x v="1"/>
    <x v="1"/>
    <n v="216"/>
    <n v="4"/>
  </r>
  <r>
    <n v="18"/>
    <d v="2024-07-25T00:00:00"/>
    <x v="1"/>
    <x v="6"/>
    <x v="2"/>
    <s v="Q3"/>
    <x v="3"/>
    <x v="3"/>
    <x v="0"/>
    <x v="1"/>
    <n v="260"/>
    <n v="4.5999999999999996"/>
  </r>
  <r>
    <n v="19"/>
    <d v="2024-08-22T00:00:00"/>
    <x v="6"/>
    <x v="6"/>
    <x v="12"/>
    <s v="Q3"/>
    <x v="9"/>
    <x v="10"/>
    <x v="9"/>
    <x v="0"/>
    <n v="159"/>
    <n v="4"/>
  </r>
  <r>
    <n v="20"/>
    <d v="2024-07-25T00:00:00"/>
    <x v="1"/>
    <x v="6"/>
    <x v="2"/>
    <s v="Q3"/>
    <x v="4"/>
    <x v="4"/>
    <x v="3"/>
    <x v="0"/>
    <n v="312"/>
    <n v="3.7"/>
  </r>
  <r>
    <n v="21"/>
    <d v="2024-04-07T00:00:00"/>
    <x v="0"/>
    <x v="3"/>
    <x v="4"/>
    <s v="Q2"/>
    <x v="4"/>
    <x v="4"/>
    <x v="10"/>
    <x v="0"/>
    <n v="178"/>
    <n v="4.7"/>
  </r>
  <r>
    <n v="22"/>
    <d v="2024-01-19T00:00:00"/>
    <x v="4"/>
    <x v="4"/>
    <x v="13"/>
    <s v="Q1"/>
    <x v="8"/>
    <x v="8"/>
    <x v="9"/>
    <x v="1"/>
    <n v="297"/>
    <n v="3.9"/>
  </r>
  <r>
    <n v="23"/>
    <d v="2024-07-22T00:00:00"/>
    <x v="1"/>
    <x v="0"/>
    <x v="2"/>
    <s v="Q3"/>
    <x v="3"/>
    <x v="3"/>
    <x v="5"/>
    <x v="0"/>
    <n v="265"/>
    <n v="4.4000000000000004"/>
  </r>
  <r>
    <n v="24"/>
    <d v="2024-01-28T00:00:00"/>
    <x v="4"/>
    <x v="3"/>
    <x v="14"/>
    <s v="Q1"/>
    <x v="9"/>
    <x v="10"/>
    <x v="1"/>
    <x v="0"/>
    <n v="258"/>
    <n v="4.0999999999999996"/>
  </r>
  <r>
    <n v="25"/>
    <d v="2024-06-25T00:00:00"/>
    <x v="5"/>
    <x v="1"/>
    <x v="15"/>
    <s v="Q2"/>
    <x v="10"/>
    <x v="11"/>
    <x v="3"/>
    <x v="1"/>
    <n v="248"/>
    <n v="4.2"/>
  </r>
  <r>
    <n v="26"/>
    <d v="2024-03-01T00:00:00"/>
    <x v="7"/>
    <x v="4"/>
    <x v="8"/>
    <s v="Q1"/>
    <x v="3"/>
    <x v="3"/>
    <x v="1"/>
    <x v="1"/>
    <n v="264"/>
    <n v="4.0999999999999996"/>
  </r>
  <r>
    <n v="27"/>
    <d v="2024-01-29T00:00:00"/>
    <x v="4"/>
    <x v="0"/>
    <x v="16"/>
    <s v="Q1"/>
    <x v="10"/>
    <x v="11"/>
    <x v="10"/>
    <x v="1"/>
    <n v="352"/>
    <n v="4.2"/>
  </r>
  <r>
    <n v="28"/>
    <d v="2024-07-02T00:00:00"/>
    <x v="1"/>
    <x v="1"/>
    <x v="7"/>
    <s v="Q3"/>
    <x v="10"/>
    <x v="11"/>
    <x v="10"/>
    <x v="1"/>
    <n v="215"/>
    <n v="4.4000000000000004"/>
  </r>
  <r>
    <n v="29"/>
    <d v="2024-07-13T00:00:00"/>
    <x v="1"/>
    <x v="2"/>
    <x v="17"/>
    <s v="Q3"/>
    <x v="7"/>
    <x v="7"/>
    <x v="5"/>
    <x v="0"/>
    <n v="134"/>
    <n v="3.8"/>
  </r>
  <r>
    <n v="30"/>
    <d v="2024-03-06T00:00:00"/>
    <x v="7"/>
    <x v="5"/>
    <x v="18"/>
    <s v="Q1"/>
    <x v="8"/>
    <x v="8"/>
    <x v="7"/>
    <x v="1"/>
    <n v="282"/>
    <n v="4.599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B744A1-10CA-460D-8DDB-F6093EDC42DA}"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M3:N23" firstHeaderRow="1" firstDataRow="1" firstDataCol="1"/>
  <pivotFields count="12">
    <pivotField showAll="0"/>
    <pivotField numFmtId="14" showAll="0"/>
    <pivotField showAll="0">
      <items count="9">
        <item x="4"/>
        <item x="2"/>
        <item x="7"/>
        <item x="0"/>
        <item x="3"/>
        <item x="5"/>
        <item x="1"/>
        <item x="6"/>
        <item t="default"/>
      </items>
    </pivotField>
    <pivotField showAll="0"/>
    <pivotField axis="axisRow" showAll="0">
      <items count="20">
        <item x="9"/>
        <item x="13"/>
        <item x="14"/>
        <item x="16"/>
        <item x="3"/>
        <item x="8"/>
        <item x="18"/>
        <item x="4"/>
        <item x="0"/>
        <item x="6"/>
        <item x="1"/>
        <item x="5"/>
        <item x="10"/>
        <item x="15"/>
        <item x="7"/>
        <item x="17"/>
        <item x="2"/>
        <item x="11"/>
        <item x="12"/>
        <item t="default"/>
      </items>
    </pivotField>
    <pivotField showAll="0"/>
    <pivotField showAll="0">
      <items count="12">
        <item x="7"/>
        <item x="9"/>
        <item x="8"/>
        <item x="10"/>
        <item x="4"/>
        <item x="1"/>
        <item x="3"/>
        <item x="5"/>
        <item x="0"/>
        <item x="2"/>
        <item x="6"/>
        <item t="default"/>
      </items>
    </pivotField>
    <pivotField showAll="0">
      <items count="13">
        <item x="9"/>
        <item x="1"/>
        <item x="5"/>
        <item x="7"/>
        <item x="0"/>
        <item x="3"/>
        <item x="6"/>
        <item x="2"/>
        <item x="8"/>
        <item x="11"/>
        <item x="10"/>
        <item x="4"/>
        <item t="default"/>
      </items>
    </pivotField>
    <pivotField showAll="0">
      <items count="12">
        <item x="8"/>
        <item x="10"/>
        <item x="6"/>
        <item x="5"/>
        <item x="2"/>
        <item x="4"/>
        <item x="9"/>
        <item x="1"/>
        <item x="0"/>
        <item x="7"/>
        <item x="3"/>
        <item t="default"/>
      </items>
    </pivotField>
    <pivotField showAll="0">
      <items count="3">
        <item x="0"/>
        <item x="1"/>
        <item t="default"/>
      </items>
    </pivotField>
    <pivotField dataField="1" showAll="0"/>
    <pivotField showAll="0"/>
  </pivotFields>
  <rowFields count="1">
    <field x="4"/>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10"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1925F-72F5-4B96-B4FE-AEE5E9567E49}"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3:K16" firstHeaderRow="1" firstDataRow="1" firstDataCol="1"/>
  <pivotFields count="12">
    <pivotField showAll="0"/>
    <pivotField numFmtId="14" showAll="0"/>
    <pivotField showAll="0">
      <items count="9">
        <item x="4"/>
        <item x="2"/>
        <item x="7"/>
        <item x="0"/>
        <item x="3"/>
        <item x="5"/>
        <item x="1"/>
        <item x="6"/>
        <item t="default"/>
      </items>
    </pivotField>
    <pivotField showAll="0"/>
    <pivotField showAll="0"/>
    <pivotField showAll="0"/>
    <pivotField showAll="0">
      <items count="12">
        <item x="7"/>
        <item x="9"/>
        <item x="8"/>
        <item x="10"/>
        <item x="4"/>
        <item x="1"/>
        <item x="3"/>
        <item x="5"/>
        <item x="0"/>
        <item x="2"/>
        <item x="6"/>
        <item t="default"/>
      </items>
    </pivotField>
    <pivotField axis="axisRow" showAll="0">
      <items count="13">
        <item x="9"/>
        <item x="1"/>
        <item x="5"/>
        <item x="7"/>
        <item x="0"/>
        <item x="3"/>
        <item x="6"/>
        <item x="2"/>
        <item x="8"/>
        <item x="11"/>
        <item x="10"/>
        <item x="4"/>
        <item t="default"/>
      </items>
    </pivotField>
    <pivotField showAll="0">
      <items count="12">
        <item x="8"/>
        <item x="10"/>
        <item x="6"/>
        <item x="5"/>
        <item x="2"/>
        <item x="4"/>
        <item x="9"/>
        <item x="1"/>
        <item x="0"/>
        <item x="7"/>
        <item x="3"/>
        <item t="default"/>
      </items>
    </pivotField>
    <pivotField showAll="0">
      <items count="3">
        <item x="0"/>
        <item x="1"/>
        <item t="default"/>
      </items>
    </pivotField>
    <pivotField dataField="1"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Sales" fld="10"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3E37CF-33B7-48A0-AC33-A29744324B93}"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1" firstHeaderRow="1" firstDataRow="1" firstDataCol="1"/>
  <pivotFields count="12">
    <pivotField showAll="0"/>
    <pivotField numFmtId="14" showAll="0"/>
    <pivotField showAll="0">
      <items count="9">
        <item x="4"/>
        <item x="2"/>
        <item x="7"/>
        <item x="0"/>
        <item x="3"/>
        <item x="5"/>
        <item x="1"/>
        <item x="6"/>
        <item t="default"/>
      </items>
    </pivotField>
    <pivotField axis="axisRow" showAll="0">
      <items count="8">
        <item x="0"/>
        <item x="1"/>
        <item x="5"/>
        <item x="6"/>
        <item x="4"/>
        <item x="2"/>
        <item x="3"/>
        <item t="default"/>
      </items>
    </pivotField>
    <pivotField showAll="0"/>
    <pivotField showAll="0"/>
    <pivotField showAll="0">
      <items count="12">
        <item x="7"/>
        <item x="9"/>
        <item x="8"/>
        <item x="10"/>
        <item x="4"/>
        <item x="1"/>
        <item x="3"/>
        <item x="5"/>
        <item x="0"/>
        <item x="2"/>
        <item x="6"/>
        <item t="default"/>
      </items>
    </pivotField>
    <pivotField showAll="0">
      <items count="13">
        <item x="9"/>
        <item x="1"/>
        <item x="5"/>
        <item x="7"/>
        <item x="0"/>
        <item x="3"/>
        <item x="6"/>
        <item x="2"/>
        <item x="8"/>
        <item x="11"/>
        <item x="10"/>
        <item x="4"/>
        <item t="default"/>
      </items>
    </pivotField>
    <pivotField showAll="0">
      <items count="12">
        <item x="8"/>
        <item x="10"/>
        <item x="6"/>
        <item x="5"/>
        <item x="2"/>
        <item x="4"/>
        <item x="9"/>
        <item x="1"/>
        <item x="0"/>
        <item x="7"/>
        <item x="3"/>
        <item t="default"/>
      </items>
    </pivotField>
    <pivotField showAll="0">
      <items count="3">
        <item x="0"/>
        <item x="1"/>
        <item t="default"/>
      </items>
    </pivotField>
    <pivotField dataField="1" showAll="0"/>
    <pivotField showAll="0"/>
  </pivotFields>
  <rowFields count="1">
    <field x="3"/>
  </rowFields>
  <rowItems count="8">
    <i>
      <x/>
    </i>
    <i>
      <x v="1"/>
    </i>
    <i>
      <x v="2"/>
    </i>
    <i>
      <x v="3"/>
    </i>
    <i>
      <x v="4"/>
    </i>
    <i>
      <x v="5"/>
    </i>
    <i>
      <x v="6"/>
    </i>
    <i t="grand">
      <x/>
    </i>
  </rowItems>
  <colItems count="1">
    <i/>
  </colItems>
  <dataFields count="1">
    <dataField name="Sum of Sales" fld="10"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D436E3-B4D1-4A61-8B9F-0FF1F8972EF8}"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6" firstHeaderRow="1" firstDataRow="1" firstDataCol="1"/>
  <pivotFields count="12">
    <pivotField showAll="0"/>
    <pivotField numFmtId="14" showAll="0"/>
    <pivotField showAll="0">
      <items count="9">
        <item x="4"/>
        <item x="2"/>
        <item x="7"/>
        <item x="0"/>
        <item x="3"/>
        <item x="5"/>
        <item x="1"/>
        <item x="6"/>
        <item t="default"/>
      </items>
    </pivotField>
    <pivotField showAll="0"/>
    <pivotField showAll="0"/>
    <pivotField showAll="0"/>
    <pivotField showAll="0">
      <items count="12">
        <item x="7"/>
        <item x="9"/>
        <item x="8"/>
        <item x="10"/>
        <item x="4"/>
        <item x="1"/>
        <item x="3"/>
        <item x="5"/>
        <item x="0"/>
        <item x="2"/>
        <item x="6"/>
        <item t="default"/>
      </items>
    </pivotField>
    <pivotField showAll="0">
      <items count="13">
        <item x="9"/>
        <item x="1"/>
        <item x="5"/>
        <item x="7"/>
        <item x="0"/>
        <item x="3"/>
        <item x="6"/>
        <item x="2"/>
        <item x="8"/>
        <item x="11"/>
        <item x="10"/>
        <item x="4"/>
        <item t="default"/>
      </items>
    </pivotField>
    <pivotField showAll="0">
      <items count="12">
        <item x="8"/>
        <item x="10"/>
        <item x="6"/>
        <item x="5"/>
        <item x="2"/>
        <item x="4"/>
        <item x="9"/>
        <item x="1"/>
        <item x="0"/>
        <item x="7"/>
        <item x="3"/>
        <item t="default"/>
      </items>
    </pivotField>
    <pivotField axis="axisRow" showAll="0">
      <items count="3">
        <item x="0"/>
        <item x="1"/>
        <item t="default"/>
      </items>
    </pivotField>
    <pivotField dataField="1" showAll="0"/>
    <pivotField showAll="0"/>
  </pivotFields>
  <rowFields count="1">
    <field x="9"/>
  </rowFields>
  <rowItems count="3">
    <i>
      <x/>
    </i>
    <i>
      <x v="1"/>
    </i>
    <i t="grand">
      <x/>
    </i>
  </rowItems>
  <colItems count="1">
    <i/>
  </colItems>
  <dataFields count="1">
    <dataField name="Sum of Sales" fld="10" baseField="0" baseItem="0"/>
  </dataField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9" count="1" selected="0">
            <x v="0"/>
          </reference>
        </references>
      </pivotArea>
    </chartFormat>
    <chartFormat chart="7"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9A56B-6AB0-4C9D-8EB9-51875F29B4E3}"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2" firstHeaderRow="1" firstDataRow="1" firstDataCol="1"/>
  <pivotFields count="12">
    <pivotField showAll="0"/>
    <pivotField numFmtId="14" showAll="0"/>
    <pivotField axis="axisRow" showAll="0">
      <items count="9">
        <item x="4"/>
        <item x="2"/>
        <item x="7"/>
        <item x="0"/>
        <item x="3"/>
        <item x="5"/>
        <item x="1"/>
        <item x="6"/>
        <item t="default"/>
      </items>
    </pivotField>
    <pivotField showAll="0"/>
    <pivotField showAll="0"/>
    <pivotField showAll="0"/>
    <pivotField showAll="0">
      <items count="12">
        <item x="7"/>
        <item x="9"/>
        <item x="8"/>
        <item x="10"/>
        <item x="4"/>
        <item x="1"/>
        <item x="3"/>
        <item x="5"/>
        <item x="0"/>
        <item x="2"/>
        <item x="6"/>
        <item t="default"/>
      </items>
    </pivotField>
    <pivotField showAll="0">
      <items count="13">
        <item x="9"/>
        <item x="1"/>
        <item x="5"/>
        <item x="7"/>
        <item x="0"/>
        <item x="3"/>
        <item x="6"/>
        <item x="2"/>
        <item x="8"/>
        <item x="11"/>
        <item x="10"/>
        <item x="4"/>
        <item t="default"/>
      </items>
    </pivotField>
    <pivotField showAll="0">
      <items count="12">
        <item x="8"/>
        <item x="10"/>
        <item x="6"/>
        <item x="5"/>
        <item x="2"/>
        <item x="4"/>
        <item x="9"/>
        <item x="1"/>
        <item x="0"/>
        <item x="7"/>
        <item x="3"/>
        <item t="default"/>
      </items>
    </pivotField>
    <pivotField showAll="0">
      <items count="3">
        <item x="0"/>
        <item x="1"/>
        <item t="default"/>
      </items>
    </pivotField>
    <pivotField dataField="1" showAll="0"/>
    <pivotField showAll="0"/>
  </pivotFields>
  <rowFields count="1">
    <field x="2"/>
  </rowFields>
  <rowItems count="9">
    <i>
      <x/>
    </i>
    <i>
      <x v="1"/>
    </i>
    <i>
      <x v="2"/>
    </i>
    <i>
      <x v="3"/>
    </i>
    <i>
      <x v="4"/>
    </i>
    <i>
      <x v="5"/>
    </i>
    <i>
      <x v="6"/>
    </i>
    <i>
      <x v="7"/>
    </i>
    <i t="grand">
      <x/>
    </i>
  </rowItems>
  <colItems count="1">
    <i/>
  </colItems>
  <dataFields count="1">
    <dataField name="Sum of Sales" fld="10"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04C47270-1686-4CF8-B02F-9CD3BFD6839C}" sourceName="Restaurant Name">
  <pivotTables>
    <pivotTable tabId="4" name="PivotTable2"/>
    <pivotTable tabId="4" name="PivotTable10"/>
    <pivotTable tabId="4" name="PivotTable4"/>
    <pivotTable tabId="4" name="PivotTable6"/>
    <pivotTable tabId="4" name="PivotTable8"/>
  </pivotTables>
  <data>
    <tabular pivotCacheId="388513217">
      <items count="11">
        <i x="8" s="1"/>
        <i x="10" s="1"/>
        <i x="6" s="1"/>
        <i x="5" s="1"/>
        <i x="2" s="1"/>
        <i x="4" s="1"/>
        <i x="9" s="1"/>
        <i x="1" s="1"/>
        <i x="0" s="1"/>
        <i x="7"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Type" xr10:uid="{4C0A56DD-34CC-4753-AC30-2E6F399A3664}" sourceName="Food Type">
  <pivotTables>
    <pivotTable tabId="4" name="PivotTable2"/>
    <pivotTable tabId="4" name="PivotTable10"/>
    <pivotTable tabId="4" name="PivotTable4"/>
    <pivotTable tabId="4" name="PivotTable6"/>
    <pivotTable tabId="4" name="PivotTable8"/>
  </pivotTables>
  <data>
    <tabular pivotCacheId="38851321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2B43E1E-0D43-466A-A8FA-E288FD8C8DA6}" sourceName="City">
  <pivotTables>
    <pivotTable tabId="4" name="PivotTable2"/>
    <pivotTable tabId="4" name="PivotTable10"/>
    <pivotTable tabId="4" name="PivotTable4"/>
    <pivotTable tabId="4" name="PivotTable6"/>
    <pivotTable tabId="4" name="PivotTable8"/>
  </pivotTables>
  <data>
    <tabular pivotCacheId="388513217">
      <items count="12">
        <i x="9" s="1"/>
        <i x="1" s="1"/>
        <i x="5" s="1"/>
        <i x="7" s="1"/>
        <i x="0" s="1"/>
        <i x="3" s="1"/>
        <i x="6" s="1"/>
        <i x="2" s="1"/>
        <i x="8" s="1"/>
        <i x="11" s="1"/>
        <i x="1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89A95BF-0B97-4049-BA7F-C6D88BF73603}" sourceName="State">
  <pivotTables>
    <pivotTable tabId="4" name="PivotTable2"/>
    <pivotTable tabId="4" name="PivotTable10"/>
    <pivotTable tabId="4" name="PivotTable4"/>
    <pivotTable tabId="4" name="PivotTable6"/>
    <pivotTable tabId="4" name="PivotTable8"/>
  </pivotTables>
  <data>
    <tabular pivotCacheId="388513217">
      <items count="11">
        <i x="7" s="1"/>
        <i x="9" s="1"/>
        <i x="8" s="1"/>
        <i x="10" s="1"/>
        <i x="4" s="1"/>
        <i x="1" s="1"/>
        <i x="3" s="1"/>
        <i x="5" s="1"/>
        <i x="0" s="1"/>
        <i x="2"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03FC9C-958D-4C88-8060-06C14EE70BE5}" sourceName="Month">
  <pivotTables>
    <pivotTable tabId="4" name="PivotTable2"/>
    <pivotTable tabId="4" name="PivotTable10"/>
    <pivotTable tabId="4" name="PivotTable4"/>
    <pivotTable tabId="4" name="PivotTable6"/>
    <pivotTable tabId="4" name="PivotTable8"/>
  </pivotTables>
  <data>
    <tabular pivotCacheId="388513217">
      <items count="8">
        <i x="4" s="1"/>
        <i x="2" s="1"/>
        <i x="7" s="1"/>
        <i x="0" s="1"/>
        <i x="3" s="1"/>
        <i x="5"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Name" xr10:uid="{91BF1559-D394-4644-9C2D-14B8329F9187}" cache="Slicer_Restaurant_Name" caption="Restaurant Name" rowHeight="241300"/>
  <slicer name="Food Type" xr10:uid="{6C571FE0-CB37-40C0-ACEA-97CF2BEE75F5}" cache="Slicer_Food_Type" caption="Food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Name 1" xr10:uid="{17368ED8-9509-474C-96F8-E86CD77A10BD}" cache="Slicer_Restaurant_Name" caption="Restaurant Name" startItem="4" rowHeight="241300"/>
  <slicer name="Food Type 1" xr10:uid="{C3753711-704E-4C02-A933-5BFD93D93ACB}" cache="Slicer_Food_Type" caption="Food Type" rowHeight="241300"/>
  <slicer name="City" xr10:uid="{810FA52B-07F0-478F-98EE-5649CF5CFE77}" cache="Slicer_City" caption="City" rowHeight="241300"/>
  <slicer name="State" xr10:uid="{F165FF6D-44A5-4214-AB4E-97686247EF0C}" cache="Slicer_State" caption="State" startItem="4" rowHeight="241300"/>
  <slicer name="Month" xr10:uid="{C299A8D8-4DC0-4F32-B01B-1164FCBC9542}" cache="Slicer_Month"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14DE-DA0E-4ABE-8C56-80411C8B1A8F}">
  <dimension ref="A3:N23"/>
  <sheetViews>
    <sheetView workbookViewId="0">
      <selection activeCell="P9" sqref="P9"/>
    </sheetView>
  </sheetViews>
  <sheetFormatPr defaultRowHeight="14.5" x14ac:dyDescent="0.35"/>
  <cols>
    <col min="1" max="1" width="12.36328125" bestFit="1" customWidth="1"/>
    <col min="2" max="2" width="11.26953125" bestFit="1" customWidth="1"/>
    <col min="4" max="4" width="12.36328125" bestFit="1" customWidth="1"/>
    <col min="5" max="5" width="11.26953125" bestFit="1" customWidth="1"/>
    <col min="7" max="7" width="12.36328125" bestFit="1" customWidth="1"/>
    <col min="8" max="8" width="11.26953125" bestFit="1" customWidth="1"/>
    <col min="10" max="10" width="12.36328125" bestFit="1" customWidth="1"/>
    <col min="11" max="11" width="11.26953125" bestFit="1" customWidth="1"/>
    <col min="13" max="13" width="12.36328125" bestFit="1" customWidth="1"/>
    <col min="14" max="14" width="11.26953125" bestFit="1" customWidth="1"/>
  </cols>
  <sheetData>
    <row r="3" spans="1:14" x14ac:dyDescent="0.35">
      <c r="A3" s="3" t="s">
        <v>66</v>
      </c>
      <c r="B3" t="s">
        <v>68</v>
      </c>
      <c r="D3" s="3" t="s">
        <v>66</v>
      </c>
      <c r="E3" t="s">
        <v>68</v>
      </c>
      <c r="G3" s="3" t="s">
        <v>66</v>
      </c>
      <c r="H3" t="s">
        <v>68</v>
      </c>
      <c r="J3" s="3" t="s">
        <v>66</v>
      </c>
      <c r="K3" t="s">
        <v>68</v>
      </c>
      <c r="M3" s="3" t="s">
        <v>66</v>
      </c>
      <c r="N3" t="s">
        <v>68</v>
      </c>
    </row>
    <row r="4" spans="1:14" x14ac:dyDescent="0.35">
      <c r="A4" s="4" t="s">
        <v>47</v>
      </c>
      <c r="B4" s="2">
        <v>1070</v>
      </c>
      <c r="D4" s="4" t="s">
        <v>20</v>
      </c>
      <c r="E4" s="2">
        <v>2752</v>
      </c>
      <c r="G4" s="4" t="s">
        <v>17</v>
      </c>
      <c r="H4" s="2">
        <v>1586</v>
      </c>
      <c r="J4" s="4" t="s">
        <v>57</v>
      </c>
      <c r="K4" s="2">
        <v>216</v>
      </c>
      <c r="M4" s="4">
        <v>2</v>
      </c>
      <c r="N4" s="2">
        <v>163</v>
      </c>
    </row>
    <row r="5" spans="1:14" x14ac:dyDescent="0.35">
      <c r="A5" s="4" t="s">
        <v>31</v>
      </c>
      <c r="B5" s="2">
        <v>1233</v>
      </c>
      <c r="D5" s="4" t="s">
        <v>5</v>
      </c>
      <c r="E5" s="2">
        <v>4740</v>
      </c>
      <c r="G5" s="4" t="s">
        <v>21</v>
      </c>
      <c r="H5" s="2">
        <v>898</v>
      </c>
      <c r="J5" s="4" t="s">
        <v>23</v>
      </c>
      <c r="K5" s="2">
        <v>403</v>
      </c>
      <c r="M5" s="4">
        <v>3</v>
      </c>
      <c r="N5" s="2">
        <v>297</v>
      </c>
    </row>
    <row r="6" spans="1:14" x14ac:dyDescent="0.35">
      <c r="A6" s="4" t="s">
        <v>65</v>
      </c>
      <c r="B6" s="2">
        <v>546</v>
      </c>
      <c r="D6" s="4" t="s">
        <v>67</v>
      </c>
      <c r="E6" s="2">
        <v>7492</v>
      </c>
      <c r="G6" s="4" t="s">
        <v>48</v>
      </c>
      <c r="H6" s="2">
        <v>987</v>
      </c>
      <c r="J6" s="4" t="s">
        <v>46</v>
      </c>
      <c r="K6" s="2">
        <v>553</v>
      </c>
      <c r="M6" s="4">
        <v>4</v>
      </c>
      <c r="N6" s="2">
        <v>258</v>
      </c>
    </row>
    <row r="7" spans="1:14" x14ac:dyDescent="0.35">
      <c r="A7" s="4" t="s">
        <v>16</v>
      </c>
      <c r="B7" s="2">
        <v>1940</v>
      </c>
      <c r="G7" s="4" t="s">
        <v>58</v>
      </c>
      <c r="H7" s="2">
        <v>731</v>
      </c>
      <c r="J7" s="4" t="s">
        <v>52</v>
      </c>
      <c r="K7" s="2">
        <v>405</v>
      </c>
      <c r="M7" s="4">
        <v>5</v>
      </c>
      <c r="N7" s="2">
        <v>352</v>
      </c>
    </row>
    <row r="8" spans="1:14" x14ac:dyDescent="0.35">
      <c r="A8" s="4" t="s">
        <v>36</v>
      </c>
      <c r="B8" s="2">
        <v>288</v>
      </c>
      <c r="G8" s="4" t="s">
        <v>40</v>
      </c>
      <c r="H8" s="2">
        <v>1067</v>
      </c>
      <c r="J8" s="4" t="s">
        <v>7</v>
      </c>
      <c r="K8" s="2">
        <v>983</v>
      </c>
      <c r="M8" s="4">
        <v>7</v>
      </c>
      <c r="N8" s="2">
        <v>1011</v>
      </c>
    </row>
    <row r="9" spans="1:14" x14ac:dyDescent="0.35">
      <c r="A9" s="4" t="s">
        <v>53</v>
      </c>
      <c r="B9" s="2">
        <v>487</v>
      </c>
      <c r="G9" s="4" t="s">
        <v>26</v>
      </c>
      <c r="H9" s="2">
        <v>1251</v>
      </c>
      <c r="J9" s="4" t="s">
        <v>38</v>
      </c>
      <c r="K9" s="2">
        <v>1317</v>
      </c>
      <c r="M9" s="4">
        <v>9</v>
      </c>
      <c r="N9" s="2">
        <v>486</v>
      </c>
    </row>
    <row r="10" spans="1:14" x14ac:dyDescent="0.35">
      <c r="A10" s="4" t="s">
        <v>25</v>
      </c>
      <c r="B10" s="2">
        <v>1553</v>
      </c>
      <c r="G10" s="4" t="s">
        <v>34</v>
      </c>
      <c r="H10" s="2">
        <v>972</v>
      </c>
      <c r="J10" s="4" t="s">
        <v>50</v>
      </c>
      <c r="K10" s="2">
        <v>163</v>
      </c>
      <c r="M10" s="4">
        <v>10</v>
      </c>
      <c r="N10" s="2">
        <v>282</v>
      </c>
    </row>
    <row r="11" spans="1:14" x14ac:dyDescent="0.35">
      <c r="A11" s="4" t="s">
        <v>56</v>
      </c>
      <c r="B11" s="2">
        <v>375</v>
      </c>
      <c r="G11" s="4" t="s">
        <v>67</v>
      </c>
      <c r="H11" s="2">
        <v>7492</v>
      </c>
      <c r="J11" s="4" t="s">
        <v>29</v>
      </c>
      <c r="K11" s="2">
        <v>691</v>
      </c>
      <c r="M11" s="4">
        <v>14</v>
      </c>
      <c r="N11" s="2">
        <v>393</v>
      </c>
    </row>
    <row r="12" spans="1:14" x14ac:dyDescent="0.35">
      <c r="A12" s="4" t="s">
        <v>67</v>
      </c>
      <c r="B12" s="2">
        <v>7492</v>
      </c>
      <c r="J12" s="4" t="s">
        <v>55</v>
      </c>
      <c r="K12" s="2">
        <v>882</v>
      </c>
      <c r="M12" s="4">
        <v>15</v>
      </c>
      <c r="N12" s="2">
        <v>877</v>
      </c>
    </row>
    <row r="13" spans="1:14" x14ac:dyDescent="0.35">
      <c r="J13" s="4" t="s">
        <v>64</v>
      </c>
      <c r="K13" s="2">
        <v>815</v>
      </c>
      <c r="M13" s="4">
        <v>16</v>
      </c>
      <c r="N13" s="2">
        <v>506</v>
      </c>
    </row>
    <row r="14" spans="1:14" x14ac:dyDescent="0.35">
      <c r="J14" s="4" t="s">
        <v>60</v>
      </c>
      <c r="K14" s="2">
        <v>417</v>
      </c>
      <c r="M14" s="4">
        <v>17</v>
      </c>
      <c r="N14" s="2">
        <v>164</v>
      </c>
    </row>
    <row r="15" spans="1:14" x14ac:dyDescent="0.35">
      <c r="J15" s="4" t="s">
        <v>43</v>
      </c>
      <c r="K15" s="2">
        <v>647</v>
      </c>
      <c r="M15" s="4">
        <v>19</v>
      </c>
      <c r="N15" s="2">
        <v>288</v>
      </c>
    </row>
    <row r="16" spans="1:14" x14ac:dyDescent="0.35">
      <c r="J16" s="4" t="s">
        <v>67</v>
      </c>
      <c r="K16" s="2">
        <v>7492</v>
      </c>
      <c r="M16" s="4">
        <v>24</v>
      </c>
      <c r="N16" s="2">
        <v>239</v>
      </c>
    </row>
    <row r="17" spans="13:14" x14ac:dyDescent="0.35">
      <c r="M17" s="4">
        <v>26</v>
      </c>
      <c r="N17" s="2">
        <v>248</v>
      </c>
    </row>
    <row r="18" spans="13:14" x14ac:dyDescent="0.35">
      <c r="M18" s="4">
        <v>27</v>
      </c>
      <c r="N18" s="2">
        <v>372</v>
      </c>
    </row>
    <row r="19" spans="13:14" x14ac:dyDescent="0.35">
      <c r="M19" s="4">
        <v>28</v>
      </c>
      <c r="N19" s="2">
        <v>134</v>
      </c>
    </row>
    <row r="20" spans="13:14" x14ac:dyDescent="0.35">
      <c r="M20" s="4">
        <v>30</v>
      </c>
      <c r="N20" s="2">
        <v>1047</v>
      </c>
    </row>
    <row r="21" spans="13:14" x14ac:dyDescent="0.35">
      <c r="M21" s="4">
        <v>33</v>
      </c>
      <c r="N21" s="2">
        <v>216</v>
      </c>
    </row>
    <row r="22" spans="13:14" x14ac:dyDescent="0.35">
      <c r="M22" s="4">
        <v>34</v>
      </c>
      <c r="N22" s="2">
        <v>159</v>
      </c>
    </row>
    <row r="23" spans="13:14" x14ac:dyDescent="0.35">
      <c r="M23" s="4" t="s">
        <v>67</v>
      </c>
      <c r="N23" s="2">
        <v>7492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46EF-289D-4DD0-876E-900D28FA0068}">
  <dimension ref="A1"/>
  <sheetViews>
    <sheetView showGridLines="0" tabSelected="1" zoomScale="58" workbookViewId="0">
      <selection activeCell="S22" sqref="S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2CE9-8A8A-4AB9-A1C0-76019353A8B2}">
  <dimension ref="A1:L31"/>
  <sheetViews>
    <sheetView workbookViewId="0">
      <selection activeCell="G1" sqref="G1:G1048576"/>
    </sheetView>
  </sheetViews>
  <sheetFormatPr defaultRowHeight="14.5" x14ac:dyDescent="0.35"/>
  <cols>
    <col min="1" max="1" width="10.54296875" bestFit="1" customWidth="1"/>
    <col min="2" max="2" width="10.453125" bestFit="1" customWidth="1"/>
    <col min="7" max="7" width="12.26953125" bestFit="1" customWidth="1"/>
    <col min="8" max="8" width="11" bestFit="1" customWidth="1"/>
    <col min="9" max="9" width="16" bestFit="1" customWidth="1"/>
    <col min="10" max="10" width="9.453125" bestFit="1" customWidth="1"/>
  </cols>
  <sheetData>
    <row r="1" spans="1:12" x14ac:dyDescent="0.35">
      <c r="A1" t="s">
        <v>9</v>
      </c>
      <c r="B1" t="s">
        <v>10</v>
      </c>
      <c r="C1" t="s">
        <v>4</v>
      </c>
      <c r="D1" t="s">
        <v>11</v>
      </c>
      <c r="E1" t="s">
        <v>12</v>
      </c>
      <c r="F1" t="s">
        <v>13</v>
      </c>
      <c r="G1" t="s">
        <v>3</v>
      </c>
      <c r="H1" t="s">
        <v>2</v>
      </c>
      <c r="I1" t="s">
        <v>14</v>
      </c>
      <c r="J1" t="s">
        <v>15</v>
      </c>
      <c r="K1" t="s">
        <v>1</v>
      </c>
      <c r="L1" t="s">
        <v>0</v>
      </c>
    </row>
    <row r="2" spans="1:12" x14ac:dyDescent="0.35">
      <c r="A2">
        <v>1</v>
      </c>
      <c r="B2" s="1">
        <v>45390</v>
      </c>
      <c r="C2" t="s">
        <v>16</v>
      </c>
      <c r="D2" t="s">
        <v>17</v>
      </c>
      <c r="E2">
        <v>15</v>
      </c>
      <c r="F2" t="s">
        <v>18</v>
      </c>
      <c r="G2" t="s">
        <v>8</v>
      </c>
      <c r="H2" t="s">
        <v>7</v>
      </c>
      <c r="I2" t="s">
        <v>19</v>
      </c>
      <c r="J2" t="s">
        <v>20</v>
      </c>
      <c r="K2">
        <v>374</v>
      </c>
      <c r="L2">
        <v>4.3</v>
      </c>
    </row>
    <row r="3" spans="1:12" x14ac:dyDescent="0.35">
      <c r="A3">
        <v>2</v>
      </c>
      <c r="B3" s="1">
        <v>45405</v>
      </c>
      <c r="C3" t="s">
        <v>16</v>
      </c>
      <c r="D3" t="s">
        <v>21</v>
      </c>
      <c r="E3">
        <v>17</v>
      </c>
      <c r="F3" t="s">
        <v>18</v>
      </c>
      <c r="G3" t="s">
        <v>22</v>
      </c>
      <c r="H3" t="s">
        <v>23</v>
      </c>
      <c r="I3" t="s">
        <v>24</v>
      </c>
      <c r="J3" t="s">
        <v>5</v>
      </c>
      <c r="K3">
        <v>164</v>
      </c>
      <c r="L3">
        <v>4.7</v>
      </c>
    </row>
    <row r="4" spans="1:12" x14ac:dyDescent="0.35">
      <c r="A4">
        <v>3</v>
      </c>
      <c r="B4" s="1">
        <v>45500</v>
      </c>
      <c r="C4" t="s">
        <v>25</v>
      </c>
      <c r="D4" t="s">
        <v>26</v>
      </c>
      <c r="E4">
        <v>30</v>
      </c>
      <c r="F4" t="s">
        <v>27</v>
      </c>
      <c r="G4" t="s">
        <v>28</v>
      </c>
      <c r="H4" t="s">
        <v>29</v>
      </c>
      <c r="I4" t="s">
        <v>30</v>
      </c>
      <c r="J4" t="s">
        <v>20</v>
      </c>
      <c r="K4">
        <v>210</v>
      </c>
      <c r="L4">
        <v>4.3</v>
      </c>
    </row>
    <row r="5" spans="1:12" x14ac:dyDescent="0.35">
      <c r="A5">
        <v>4</v>
      </c>
      <c r="B5" s="1">
        <v>45339</v>
      </c>
      <c r="C5" t="s">
        <v>31</v>
      </c>
      <c r="D5" t="s">
        <v>26</v>
      </c>
      <c r="E5">
        <v>7</v>
      </c>
      <c r="F5" t="s">
        <v>32</v>
      </c>
      <c r="G5" t="s">
        <v>8</v>
      </c>
      <c r="H5" t="s">
        <v>7</v>
      </c>
      <c r="I5" t="s">
        <v>33</v>
      </c>
      <c r="J5" t="s">
        <v>5</v>
      </c>
      <c r="K5">
        <v>387</v>
      </c>
      <c r="L5">
        <v>4.3</v>
      </c>
    </row>
    <row r="6" spans="1:12" x14ac:dyDescent="0.35">
      <c r="A6">
        <v>5</v>
      </c>
      <c r="B6" s="1">
        <v>45389</v>
      </c>
      <c r="C6" t="s">
        <v>16</v>
      </c>
      <c r="D6" t="s">
        <v>34</v>
      </c>
      <c r="E6">
        <v>14</v>
      </c>
      <c r="F6" t="s">
        <v>18</v>
      </c>
      <c r="G6" t="s">
        <v>28</v>
      </c>
      <c r="H6" t="s">
        <v>29</v>
      </c>
      <c r="I6" t="s">
        <v>35</v>
      </c>
      <c r="J6" t="s">
        <v>5</v>
      </c>
      <c r="K6">
        <v>215</v>
      </c>
      <c r="L6">
        <v>4</v>
      </c>
    </row>
    <row r="7" spans="1:12" x14ac:dyDescent="0.35">
      <c r="A7">
        <v>6</v>
      </c>
      <c r="B7" s="1">
        <v>45423</v>
      </c>
      <c r="C7" t="s">
        <v>36</v>
      </c>
      <c r="D7" t="s">
        <v>26</v>
      </c>
      <c r="E7">
        <v>19</v>
      </c>
      <c r="F7" t="s">
        <v>18</v>
      </c>
      <c r="G7" t="s">
        <v>37</v>
      </c>
      <c r="H7" t="s">
        <v>38</v>
      </c>
      <c r="I7" t="s">
        <v>39</v>
      </c>
      <c r="J7" t="s">
        <v>20</v>
      </c>
      <c r="K7">
        <v>288</v>
      </c>
      <c r="L7">
        <v>4.5</v>
      </c>
    </row>
    <row r="8" spans="1:12" x14ac:dyDescent="0.35">
      <c r="A8">
        <v>7</v>
      </c>
      <c r="B8" s="1">
        <v>45401</v>
      </c>
      <c r="C8" t="s">
        <v>16</v>
      </c>
      <c r="D8" t="s">
        <v>40</v>
      </c>
      <c r="E8">
        <v>16</v>
      </c>
      <c r="F8" t="s">
        <v>18</v>
      </c>
      <c r="G8" t="s">
        <v>28</v>
      </c>
      <c r="H8" t="s">
        <v>29</v>
      </c>
      <c r="I8" t="s">
        <v>41</v>
      </c>
      <c r="J8" t="s">
        <v>5</v>
      </c>
      <c r="K8">
        <v>266</v>
      </c>
      <c r="L8">
        <v>3.8</v>
      </c>
    </row>
    <row r="9" spans="1:12" x14ac:dyDescent="0.35">
      <c r="A9">
        <v>8</v>
      </c>
      <c r="B9" s="1">
        <v>45474</v>
      </c>
      <c r="C9" t="s">
        <v>25</v>
      </c>
      <c r="D9" t="s">
        <v>17</v>
      </c>
      <c r="E9">
        <v>27</v>
      </c>
      <c r="F9" t="s">
        <v>27</v>
      </c>
      <c r="G9" t="s">
        <v>42</v>
      </c>
      <c r="H9" t="s">
        <v>43</v>
      </c>
      <c r="I9" t="s">
        <v>6</v>
      </c>
      <c r="J9" t="s">
        <v>5</v>
      </c>
      <c r="K9">
        <v>157</v>
      </c>
      <c r="L9">
        <v>4.3</v>
      </c>
    </row>
    <row r="10" spans="1:12" x14ac:dyDescent="0.35">
      <c r="A10">
        <v>9</v>
      </c>
      <c r="B10" s="1">
        <v>45348</v>
      </c>
      <c r="C10" t="s">
        <v>31</v>
      </c>
      <c r="D10" t="s">
        <v>17</v>
      </c>
      <c r="E10">
        <v>9</v>
      </c>
      <c r="F10" t="s">
        <v>32</v>
      </c>
      <c r="G10" t="s">
        <v>8</v>
      </c>
      <c r="H10" t="s">
        <v>7</v>
      </c>
      <c r="I10" t="s">
        <v>44</v>
      </c>
      <c r="J10" t="s">
        <v>5</v>
      </c>
      <c r="K10">
        <v>222</v>
      </c>
      <c r="L10">
        <v>4.5999999999999996</v>
      </c>
    </row>
    <row r="11" spans="1:12" x14ac:dyDescent="0.35">
      <c r="A11">
        <v>10</v>
      </c>
      <c r="B11" s="1">
        <v>45340</v>
      </c>
      <c r="C11" t="s">
        <v>31</v>
      </c>
      <c r="D11" t="s">
        <v>34</v>
      </c>
      <c r="E11">
        <v>7</v>
      </c>
      <c r="F11" t="s">
        <v>32</v>
      </c>
      <c r="G11" t="s">
        <v>45</v>
      </c>
      <c r="H11" t="s">
        <v>46</v>
      </c>
      <c r="I11" t="s">
        <v>33</v>
      </c>
      <c r="J11" t="s">
        <v>5</v>
      </c>
      <c r="K11">
        <v>321</v>
      </c>
      <c r="L11">
        <v>4.5</v>
      </c>
    </row>
    <row r="12" spans="1:12" x14ac:dyDescent="0.35">
      <c r="A12">
        <v>11</v>
      </c>
      <c r="B12" s="1">
        <v>45395</v>
      </c>
      <c r="C12" t="s">
        <v>16</v>
      </c>
      <c r="D12" t="s">
        <v>26</v>
      </c>
      <c r="E12">
        <v>15</v>
      </c>
      <c r="F12" t="s">
        <v>18</v>
      </c>
      <c r="G12" t="s">
        <v>45</v>
      </c>
      <c r="H12" t="s">
        <v>46</v>
      </c>
      <c r="I12" t="s">
        <v>24</v>
      </c>
      <c r="J12" t="s">
        <v>5</v>
      </c>
      <c r="K12">
        <v>232</v>
      </c>
      <c r="L12">
        <v>4.5999999999999996</v>
      </c>
    </row>
    <row r="13" spans="1:12" x14ac:dyDescent="0.35">
      <c r="A13">
        <v>12</v>
      </c>
      <c r="B13" s="1">
        <v>45301</v>
      </c>
      <c r="C13" t="s">
        <v>47</v>
      </c>
      <c r="D13" t="s">
        <v>48</v>
      </c>
      <c r="E13">
        <v>2</v>
      </c>
      <c r="F13" t="s">
        <v>32</v>
      </c>
      <c r="G13" t="s">
        <v>49</v>
      </c>
      <c r="H13" t="s">
        <v>50</v>
      </c>
      <c r="I13" t="s">
        <v>6</v>
      </c>
      <c r="J13" t="s">
        <v>5</v>
      </c>
      <c r="K13">
        <v>163</v>
      </c>
      <c r="L13">
        <v>4.3</v>
      </c>
    </row>
    <row r="14" spans="1:12" x14ac:dyDescent="0.35">
      <c r="A14">
        <v>13</v>
      </c>
      <c r="B14" s="1">
        <v>45391</v>
      </c>
      <c r="C14" t="s">
        <v>16</v>
      </c>
      <c r="D14" t="s">
        <v>21</v>
      </c>
      <c r="E14">
        <v>15</v>
      </c>
      <c r="F14" t="s">
        <v>18</v>
      </c>
      <c r="G14" t="s">
        <v>51</v>
      </c>
      <c r="H14" t="s">
        <v>52</v>
      </c>
      <c r="I14" t="s">
        <v>30</v>
      </c>
      <c r="J14" t="s">
        <v>20</v>
      </c>
      <c r="K14">
        <v>271</v>
      </c>
      <c r="L14">
        <v>4.3</v>
      </c>
    </row>
    <row r="15" spans="1:12" x14ac:dyDescent="0.35">
      <c r="A15">
        <v>14</v>
      </c>
      <c r="B15" s="1">
        <v>45401</v>
      </c>
      <c r="C15" t="s">
        <v>16</v>
      </c>
      <c r="D15" t="s">
        <v>40</v>
      </c>
      <c r="E15">
        <v>16</v>
      </c>
      <c r="F15" t="s">
        <v>18</v>
      </c>
      <c r="G15" t="s">
        <v>37</v>
      </c>
      <c r="H15" t="s">
        <v>38</v>
      </c>
      <c r="I15" t="s">
        <v>19</v>
      </c>
      <c r="J15" t="s">
        <v>5</v>
      </c>
      <c r="K15">
        <v>240</v>
      </c>
      <c r="L15">
        <v>4.4000000000000004</v>
      </c>
    </row>
    <row r="16" spans="1:12" x14ac:dyDescent="0.35">
      <c r="A16">
        <v>15</v>
      </c>
      <c r="B16" s="1">
        <v>45455</v>
      </c>
      <c r="C16" t="s">
        <v>53</v>
      </c>
      <c r="D16" t="s">
        <v>48</v>
      </c>
      <c r="E16">
        <v>24</v>
      </c>
      <c r="F16" t="s">
        <v>18</v>
      </c>
      <c r="G16" t="s">
        <v>22</v>
      </c>
      <c r="H16" t="s">
        <v>23</v>
      </c>
      <c r="I16" t="s">
        <v>44</v>
      </c>
      <c r="J16" t="s">
        <v>5</v>
      </c>
      <c r="K16">
        <v>239</v>
      </c>
      <c r="L16">
        <v>4.3</v>
      </c>
    </row>
    <row r="17" spans="1:12" x14ac:dyDescent="0.35">
      <c r="A17">
        <v>16</v>
      </c>
      <c r="B17" s="1">
        <v>45336</v>
      </c>
      <c r="C17" t="s">
        <v>31</v>
      </c>
      <c r="D17" t="s">
        <v>48</v>
      </c>
      <c r="E17">
        <v>7</v>
      </c>
      <c r="F17" t="s">
        <v>32</v>
      </c>
      <c r="G17" t="s">
        <v>54</v>
      </c>
      <c r="H17" t="s">
        <v>55</v>
      </c>
      <c r="I17" t="s">
        <v>41</v>
      </c>
      <c r="J17" t="s">
        <v>20</v>
      </c>
      <c r="K17">
        <v>303</v>
      </c>
      <c r="L17">
        <v>4.8</v>
      </c>
    </row>
    <row r="18" spans="1:12" x14ac:dyDescent="0.35">
      <c r="A18">
        <v>17</v>
      </c>
      <c r="B18" s="1">
        <v>45516</v>
      </c>
      <c r="C18" t="s">
        <v>56</v>
      </c>
      <c r="D18" t="s">
        <v>17</v>
      </c>
      <c r="E18">
        <v>33</v>
      </c>
      <c r="F18" t="s">
        <v>27</v>
      </c>
      <c r="G18" t="s">
        <v>42</v>
      </c>
      <c r="H18" t="s">
        <v>57</v>
      </c>
      <c r="I18" t="s">
        <v>24</v>
      </c>
      <c r="J18" t="s">
        <v>5</v>
      </c>
      <c r="K18">
        <v>216</v>
      </c>
      <c r="L18">
        <v>4</v>
      </c>
    </row>
    <row r="19" spans="1:12" x14ac:dyDescent="0.35">
      <c r="A19">
        <v>18</v>
      </c>
      <c r="B19" s="1">
        <v>45498</v>
      </c>
      <c r="C19" t="s">
        <v>25</v>
      </c>
      <c r="D19" t="s">
        <v>58</v>
      </c>
      <c r="E19">
        <v>30</v>
      </c>
      <c r="F19" t="s">
        <v>27</v>
      </c>
      <c r="G19" t="s">
        <v>37</v>
      </c>
      <c r="H19" t="s">
        <v>38</v>
      </c>
      <c r="I19" t="s">
        <v>19</v>
      </c>
      <c r="J19" t="s">
        <v>5</v>
      </c>
      <c r="K19">
        <v>260</v>
      </c>
      <c r="L19">
        <v>4.5999999999999996</v>
      </c>
    </row>
    <row r="20" spans="1:12" x14ac:dyDescent="0.35">
      <c r="A20">
        <v>19</v>
      </c>
      <c r="B20" s="1">
        <v>45526</v>
      </c>
      <c r="C20" t="s">
        <v>56</v>
      </c>
      <c r="D20" t="s">
        <v>58</v>
      </c>
      <c r="E20">
        <v>34</v>
      </c>
      <c r="F20" t="s">
        <v>27</v>
      </c>
      <c r="G20" t="s">
        <v>59</v>
      </c>
      <c r="H20" t="s">
        <v>60</v>
      </c>
      <c r="I20" t="s">
        <v>61</v>
      </c>
      <c r="J20" t="s">
        <v>20</v>
      </c>
      <c r="K20">
        <v>159</v>
      </c>
      <c r="L20">
        <v>4</v>
      </c>
    </row>
    <row r="21" spans="1:12" x14ac:dyDescent="0.35">
      <c r="A21">
        <v>20</v>
      </c>
      <c r="B21" s="1">
        <v>45498</v>
      </c>
      <c r="C21" t="s">
        <v>25</v>
      </c>
      <c r="D21" t="s">
        <v>58</v>
      </c>
      <c r="E21">
        <v>30</v>
      </c>
      <c r="F21" t="s">
        <v>27</v>
      </c>
      <c r="G21" t="s">
        <v>42</v>
      </c>
      <c r="H21" t="s">
        <v>43</v>
      </c>
      <c r="I21" t="s">
        <v>33</v>
      </c>
      <c r="J21" t="s">
        <v>20</v>
      </c>
      <c r="K21">
        <v>312</v>
      </c>
      <c r="L21">
        <v>3.7</v>
      </c>
    </row>
    <row r="22" spans="1:12" x14ac:dyDescent="0.35">
      <c r="A22">
        <v>21</v>
      </c>
      <c r="B22" s="1">
        <v>45389</v>
      </c>
      <c r="C22" t="s">
        <v>16</v>
      </c>
      <c r="D22" t="s">
        <v>34</v>
      </c>
      <c r="E22">
        <v>14</v>
      </c>
      <c r="F22" t="s">
        <v>18</v>
      </c>
      <c r="G22" t="s">
        <v>42</v>
      </c>
      <c r="H22" t="s">
        <v>43</v>
      </c>
      <c r="I22" t="s">
        <v>62</v>
      </c>
      <c r="J22" t="s">
        <v>20</v>
      </c>
      <c r="K22">
        <v>178</v>
      </c>
      <c r="L22">
        <v>4.7</v>
      </c>
    </row>
    <row r="23" spans="1:12" x14ac:dyDescent="0.35">
      <c r="A23">
        <v>22</v>
      </c>
      <c r="B23" s="1">
        <v>45310</v>
      </c>
      <c r="C23" t="s">
        <v>47</v>
      </c>
      <c r="D23" t="s">
        <v>40</v>
      </c>
      <c r="E23">
        <v>3</v>
      </c>
      <c r="F23" t="s">
        <v>32</v>
      </c>
      <c r="G23" t="s">
        <v>54</v>
      </c>
      <c r="H23" t="s">
        <v>55</v>
      </c>
      <c r="I23" t="s">
        <v>61</v>
      </c>
      <c r="J23" t="s">
        <v>5</v>
      </c>
      <c r="K23">
        <v>297</v>
      </c>
      <c r="L23">
        <v>3.9</v>
      </c>
    </row>
    <row r="24" spans="1:12" x14ac:dyDescent="0.35">
      <c r="A24">
        <v>23</v>
      </c>
      <c r="B24" s="1">
        <v>45495</v>
      </c>
      <c r="C24" t="s">
        <v>25</v>
      </c>
      <c r="D24" t="s">
        <v>17</v>
      </c>
      <c r="E24">
        <v>30</v>
      </c>
      <c r="F24" t="s">
        <v>27</v>
      </c>
      <c r="G24" t="s">
        <v>37</v>
      </c>
      <c r="H24" t="s">
        <v>38</v>
      </c>
      <c r="I24" t="s">
        <v>39</v>
      </c>
      <c r="J24" t="s">
        <v>20</v>
      </c>
      <c r="K24">
        <v>265</v>
      </c>
      <c r="L24">
        <v>4.4000000000000004</v>
      </c>
    </row>
    <row r="25" spans="1:12" x14ac:dyDescent="0.35">
      <c r="A25">
        <v>24</v>
      </c>
      <c r="B25" s="1">
        <v>45319</v>
      </c>
      <c r="C25" t="s">
        <v>47</v>
      </c>
      <c r="D25" t="s">
        <v>34</v>
      </c>
      <c r="E25">
        <v>4</v>
      </c>
      <c r="F25" t="s">
        <v>32</v>
      </c>
      <c r="G25" t="s">
        <v>59</v>
      </c>
      <c r="H25" t="s">
        <v>60</v>
      </c>
      <c r="I25" t="s">
        <v>24</v>
      </c>
      <c r="J25" t="s">
        <v>20</v>
      </c>
      <c r="K25">
        <v>258</v>
      </c>
      <c r="L25">
        <v>4.0999999999999996</v>
      </c>
    </row>
    <row r="26" spans="1:12" x14ac:dyDescent="0.35">
      <c r="A26">
        <v>25</v>
      </c>
      <c r="B26" s="1">
        <v>45468</v>
      </c>
      <c r="C26" t="s">
        <v>53</v>
      </c>
      <c r="D26" t="s">
        <v>21</v>
      </c>
      <c r="E26">
        <v>26</v>
      </c>
      <c r="F26" t="s">
        <v>18</v>
      </c>
      <c r="G26" t="s">
        <v>63</v>
      </c>
      <c r="H26" t="s">
        <v>64</v>
      </c>
      <c r="I26" t="s">
        <v>33</v>
      </c>
      <c r="J26" t="s">
        <v>5</v>
      </c>
      <c r="K26">
        <v>248</v>
      </c>
      <c r="L26">
        <v>4.2</v>
      </c>
    </row>
    <row r="27" spans="1:12" x14ac:dyDescent="0.35">
      <c r="A27">
        <v>26</v>
      </c>
      <c r="B27" s="1">
        <v>45352</v>
      </c>
      <c r="C27" t="s">
        <v>65</v>
      </c>
      <c r="D27" t="s">
        <v>40</v>
      </c>
      <c r="E27">
        <v>9</v>
      </c>
      <c r="F27" t="s">
        <v>32</v>
      </c>
      <c r="G27" t="s">
        <v>37</v>
      </c>
      <c r="H27" t="s">
        <v>38</v>
      </c>
      <c r="I27" t="s">
        <v>24</v>
      </c>
      <c r="J27" t="s">
        <v>5</v>
      </c>
      <c r="K27">
        <v>264</v>
      </c>
      <c r="L27">
        <v>4.0999999999999996</v>
      </c>
    </row>
    <row r="28" spans="1:12" x14ac:dyDescent="0.35">
      <c r="A28">
        <v>27</v>
      </c>
      <c r="B28" s="1">
        <v>45320</v>
      </c>
      <c r="C28" t="s">
        <v>47</v>
      </c>
      <c r="D28" t="s">
        <v>17</v>
      </c>
      <c r="E28">
        <v>5</v>
      </c>
      <c r="F28" t="s">
        <v>32</v>
      </c>
      <c r="G28" t="s">
        <v>63</v>
      </c>
      <c r="H28" t="s">
        <v>64</v>
      </c>
      <c r="I28" t="s">
        <v>62</v>
      </c>
      <c r="J28" t="s">
        <v>5</v>
      </c>
      <c r="K28">
        <v>352</v>
      </c>
      <c r="L28">
        <v>4.2</v>
      </c>
    </row>
    <row r="29" spans="1:12" x14ac:dyDescent="0.35">
      <c r="A29">
        <v>28</v>
      </c>
      <c r="B29" s="1">
        <v>45475</v>
      </c>
      <c r="C29" t="s">
        <v>25</v>
      </c>
      <c r="D29" t="s">
        <v>21</v>
      </c>
      <c r="E29">
        <v>27</v>
      </c>
      <c r="F29" t="s">
        <v>27</v>
      </c>
      <c r="G29" t="s">
        <v>63</v>
      </c>
      <c r="H29" t="s">
        <v>64</v>
      </c>
      <c r="I29" t="s">
        <v>62</v>
      </c>
      <c r="J29" t="s">
        <v>5</v>
      </c>
      <c r="K29">
        <v>215</v>
      </c>
      <c r="L29">
        <v>4.4000000000000004</v>
      </c>
    </row>
    <row r="30" spans="1:12" x14ac:dyDescent="0.35">
      <c r="A30">
        <v>29</v>
      </c>
      <c r="B30" s="1">
        <v>45486</v>
      </c>
      <c r="C30" t="s">
        <v>25</v>
      </c>
      <c r="D30" t="s">
        <v>26</v>
      </c>
      <c r="E30">
        <v>28</v>
      </c>
      <c r="F30" t="s">
        <v>27</v>
      </c>
      <c r="G30" t="s">
        <v>51</v>
      </c>
      <c r="H30" t="s">
        <v>52</v>
      </c>
      <c r="I30" t="s">
        <v>39</v>
      </c>
      <c r="J30" t="s">
        <v>20</v>
      </c>
      <c r="K30">
        <v>134</v>
      </c>
      <c r="L30">
        <v>3.8</v>
      </c>
    </row>
    <row r="31" spans="1:12" x14ac:dyDescent="0.35">
      <c r="A31">
        <v>30</v>
      </c>
      <c r="B31" s="1">
        <v>45357</v>
      </c>
      <c r="C31" t="s">
        <v>65</v>
      </c>
      <c r="D31" t="s">
        <v>48</v>
      </c>
      <c r="E31">
        <v>10</v>
      </c>
      <c r="F31" t="s">
        <v>32</v>
      </c>
      <c r="G31" t="s">
        <v>54</v>
      </c>
      <c r="H31" t="s">
        <v>55</v>
      </c>
      <c r="I31" t="s">
        <v>6</v>
      </c>
      <c r="J31" t="s">
        <v>5</v>
      </c>
      <c r="K31">
        <v>282</v>
      </c>
      <c r="L31">
        <v>4.5999999999999996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5228B4-5654-4720-88A8-710A2460C3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Swiggy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Radhika Gundale</dc:creator>
  <cp:lastModifiedBy>Radhika Gundale</cp:lastModifiedBy>
  <dcterms:created xsi:type="dcterms:W3CDTF">2026-10-11T10:51:22Z</dcterms:created>
  <dcterms:modified xsi:type="dcterms:W3CDTF">2026-10-12T03:19:50Z</dcterms:modified>
</cp:coreProperties>
</file>